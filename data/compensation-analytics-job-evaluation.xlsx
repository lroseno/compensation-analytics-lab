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aliacao_Cargos" sheetId="1" state="visible" r:id="rId1"/>
    <sheet xmlns:r="http://schemas.openxmlformats.org/officeDocument/2006/relationships" name="Arquitetura_Cargos" sheetId="2" state="visible" r:id="rId2"/>
    <sheet xmlns:r="http://schemas.openxmlformats.org/officeDocument/2006/relationships" name="Metodologia" sheetId="3" state="visible" r:id="rId3"/>
    <sheet xmlns:r="http://schemas.openxmlformats.org/officeDocument/2006/relationships" name="Instrucoes" sheetId="4" state="visible" r:id="rId4"/>
  </sheets>
  <definedNames>
    <definedName name="_xlnm._FilterDatabase" localSheetId="0" hidden="1">'Avaliacao_Cargos'!$A$5:$AC$65</definedName>
    <definedName name="_xlnm._FilterDatabase" localSheetId="1" hidden="1">'Arquitetura_Cargos'!$A$4:$F$64</definedName>
    <definedName name="_xlnm._FilterDatabase" localSheetId="2" hidden="1">'Metodologia'!$A$4:$N$14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7365D"/>
    </font>
    <font>
      <b val="1"/>
      <color rgb="000000FF"/>
    </font>
    <font>
      <b val="1"/>
      <color rgb="00000000"/>
    </font>
    <font>
      <b val="1"/>
      <color rgb="00666666"/>
    </font>
    <font>
      <b val="1"/>
      <color rgb="00FFFFFF"/>
      <sz val="15"/>
    </font>
    <font>
      <i val="1"/>
      <color rgb="0017365D"/>
    </font>
    <font>
      <b val="1"/>
      <color rgb="00FFFFFF"/>
    </font>
    <font>
      <color rgb="00666666"/>
    </font>
    <font>
      <color rgb="0017365D"/>
    </font>
    <font>
      <b val="1"/>
      <color rgb="00FFFFFF"/>
      <sz val="9"/>
    </font>
    <font>
      <color rgb="000000FF"/>
    </font>
    <font>
      <color rgb="00000000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4B18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8FAFC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7" fillId="7" borderId="0" pivotButton="0" quotePrefix="0" xfId="0"/>
    <xf numFmtId="0" fontId="10" fillId="1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center"/>
    </xf>
    <xf numFmtId="0" fontId="11" fillId="8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center"/>
    </xf>
    <xf numFmtId="0" fontId="12" fillId="3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3" fillId="6" borderId="1" applyAlignment="1" pivotButton="0" quotePrefix="0" xfId="0">
      <alignment horizontal="center"/>
    </xf>
    <xf numFmtId="0" fontId="12" fillId="3" borderId="1" pivotButton="0" quotePrefix="0" xfId="0"/>
    <xf numFmtId="0" fontId="9" fillId="5" borderId="1" applyAlignment="1" pivotButton="0" quotePrefix="0" xfId="0">
      <alignment vertical="center"/>
    </xf>
    <xf numFmtId="0" fontId="6" fillId="2" borderId="0" pivotButton="0" quotePrefix="0" xfId="0"/>
    <xf numFmtId="0" fontId="8" fillId="8" borderId="0" applyAlignment="1" pivotButton="0" quotePrefix="0" xfId="0">
      <alignment horizontal="center"/>
    </xf>
    <xf numFmtId="0" fontId="9" fillId="0" borderId="0" applyAlignment="1" pivotButton="0" quotePrefix="0" xfId="0">
      <alignment vertical="center"/>
    </xf>
    <xf numFmtId="0" fontId="9" fillId="9" borderId="0" applyAlignment="1" pivotButton="0" quotePrefix="0" xfId="0">
      <alignment vertical="center"/>
    </xf>
    <xf numFmtId="0" fontId="6" fillId="2" borderId="0" applyAlignment="1" pivotButton="0" quotePrefix="0" xfId="0">
      <alignment horizontal="left"/>
    </xf>
    <xf numFmtId="0" fontId="8" fillId="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9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7" borderId="0" pivotButton="0" quotePrefix="0" xfId="0"/>
    <xf numFmtId="9" fontId="4" fillId="7" borderId="0" pivotButton="0" quotePrefix="0" xfId="0"/>
    <xf numFmtId="0" fontId="4" fillId="7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0" fontId="4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OpenAI</author>
  </authors>
  <commentList>
    <comment ref="G5" authorId="0" shapeId="0">
      <text>
        <t>Conhecimento e Formação: Nível de conhecimento técnico, acadêmico ou profissional exigido.
Preencha um grau de 1 a 5 conforme a aba Metodologia.</t>
      </text>
    </comment>
    <comment ref="H5" authorId="0" shapeId="0">
      <text>
        <t>Experiência: Tempo e profundidade de experiência necessários para exercer o cargo com autonomia.
Preencha um grau de 1 a 5 conforme a aba Metodologia.</t>
      </text>
    </comment>
    <comment ref="I5" authorId="0" shapeId="0">
      <text>
        <t>Complexidade: Variedade, dificuldade e nível de análise exigidos pelas atividades.
Preencha um grau de 1 a 5 conforme a aba Metodologia.</t>
      </text>
    </comment>
    <comment ref="J5" authorId="0" shapeId="0">
      <text>
        <t>Autonomia: Grau de independência para executar atividades e definir caminhos.
Preencha um grau de 1 a 5 conforme a aba Metodologia.</t>
      </text>
    </comment>
    <comment ref="K5" authorId="0" shapeId="0">
      <text>
        <t>Tomada de Decisão: Relevância e abrangência das decisões tomadas pelo cargo.
Preencha um grau de 1 a 5 conforme a aba Metodologia.</t>
      </text>
    </comment>
    <comment ref="L5" authorId="0" shapeId="0">
      <text>
        <t>Impacto no Negócio: Influência sobre resultados, custos, receitas, produtividade, qualidade ou continuidade da operação.
Preencha um grau de 1 a 5 conforme a aba Metodologia.</t>
      </text>
    </comment>
    <comment ref="M5" authorId="0" shapeId="0">
      <text>
        <t>Gestão de Pessoas: Responsabilidade formal ou funcional sobre outras pessoas.
Preencha um grau de 1 a 5 conforme a aba Metodologia.</t>
      </text>
    </comment>
    <comment ref="N5" authorId="0" shapeId="0">
      <text>
        <t>Relacionamento e Influência: Necessidade de interação, negociação, comunicação e influência.
Preencha um grau de 1 a 5 conforme a aba Metodologia.</t>
      </text>
    </comment>
    <comment ref="O5" authorId="0" shapeId="0">
      <text>
        <t>Responsabilidade por Informações: Criticidade, confidencialidade e relevância das informações utilizadas ou produzidas.
Preencha um grau de 1 a 5 conforme a aba Metodologia.</t>
      </text>
    </comment>
    <comment ref="P5" authorId="0" shapeId="0">
      <text>
        <t>Condições de Trabalho e Risco: Exposição a condições adversas, esforço físico, ambiente operacional ou riscos inerentes ao trabalho.
Preencha um grau de 1 a 5 conforme a aba Metodologia.</t>
      </text>
    </comment>
  </commentList>
</comments>
</file>

<file path=xl/tables/table1.xml><?xml version="1.0" encoding="utf-8"?>
<table xmlns="http://schemas.openxmlformats.org/spreadsheetml/2006/main" id="1" name="tbArquiteturaCargos" displayName="tbArquiteturaCargos" ref="A4:F64" headerRowCount="1">
  <autoFilter ref="A4:F64"/>
  <tableColumns count="6">
    <tableColumn id="1" name="ID Cargo"/>
    <tableColumn id="2" name="Área"/>
    <tableColumn id="3" name="Família"/>
    <tableColumn id="4" name="Cargo"/>
    <tableColumn id="5" name="Nível"/>
    <tableColumn id="6" name="HC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65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5" customWidth="1" min="3" max="3"/>
    <col width="34" customWidth="1" min="4" max="4"/>
    <col width="18" customWidth="1" min="5" max="5"/>
    <col width="7" customWidth="1" min="6" max="6"/>
    <col width="18" customWidth="1" min="7" max="7"/>
    <col width="12" customWidth="1" min="8" max="8"/>
    <col width="15" customWidth="1" min="9" max="9"/>
    <col width="12" customWidth="1" min="10" max="10"/>
    <col width="16" customWidth="1" min="11" max="11"/>
    <col width="17" customWidth="1" min="12" max="12"/>
    <col width="16" customWidth="1" min="13" max="13"/>
    <col width="19" customWidth="1" min="14" max="14"/>
    <col width="22" customWidth="1" min="15" max="15"/>
    <col width="22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4" customWidth="1" min="27" max="27"/>
    <col width="15" customWidth="1" min="28" max="28"/>
    <col width="34" customWidth="1" min="29" max="29"/>
  </cols>
  <sheetData>
    <row r="1" ht="28" customHeight="1">
      <c r="A1" s="1" t="inlineStr">
        <is>
          <t>COMPENSATION ANALYTICS LAB | AVALIAÇÃO DE CARGOS</t>
        </is>
      </c>
    </row>
    <row r="2">
      <c r="A2" s="2" t="inlineStr">
        <is>
          <t>Projeto autoral | Empresa e dados 100% sintéticos | Preencha apenas os GRAUS (1 a 5) e Observações</t>
        </is>
      </c>
    </row>
    <row r="3">
      <c r="A3" s="3" t="inlineStr">
        <is>
          <t>A pontuação total será calculada automaticamente. A classe salarial será definida na próxima etapa após análise da distribuição de pontos.</t>
        </is>
      </c>
    </row>
    <row r="4">
      <c r="A4" s="4" t="inlineStr">
        <is>
          <t>Headcount total</t>
        </is>
      </c>
      <c r="B4" s="5">
        <f>SUM(F6:F65)</f>
        <v/>
      </c>
      <c r="D4" s="4" t="inlineStr">
        <is>
          <t>Cargos</t>
        </is>
      </c>
      <c r="E4" s="5" t="n">
        <v>60</v>
      </c>
      <c r="G4" s="4" t="inlineStr">
        <is>
          <t>Pontuação mínima teórica</t>
        </is>
      </c>
      <c r="H4" s="5" t="n">
        <v>200</v>
      </c>
      <c r="J4" s="4" t="inlineStr">
        <is>
          <t>Pontuação máxima</t>
        </is>
      </c>
      <c r="K4" s="5" t="n">
        <v>1000</v>
      </c>
    </row>
    <row r="5" ht="48" customHeight="1">
      <c r="A5" s="6" t="inlineStr">
        <is>
          <t>ID Cargo</t>
        </is>
      </c>
      <c r="B5" s="6" t="inlineStr">
        <is>
          <t>Área</t>
        </is>
      </c>
      <c r="C5" s="6" t="inlineStr">
        <is>
          <t>Família</t>
        </is>
      </c>
      <c r="D5" s="6" t="inlineStr">
        <is>
          <t>Cargo</t>
        </is>
      </c>
      <c r="E5" s="6" t="inlineStr">
        <is>
          <t>Nível</t>
        </is>
      </c>
      <c r="F5" s="6" t="inlineStr">
        <is>
          <t>HC</t>
        </is>
      </c>
      <c r="G5" s="6" t="inlineStr">
        <is>
          <t>Conhecimento e Formação</t>
        </is>
      </c>
      <c r="H5" s="6" t="inlineStr">
        <is>
          <t>Experiência</t>
        </is>
      </c>
      <c r="I5" s="6" t="inlineStr">
        <is>
          <t>Complexidade</t>
        </is>
      </c>
      <c r="J5" s="6" t="inlineStr">
        <is>
          <t>Autonomia</t>
        </is>
      </c>
      <c r="K5" s="6" t="inlineStr">
        <is>
          <t>Tomada de Decisão</t>
        </is>
      </c>
      <c r="L5" s="6" t="inlineStr">
        <is>
          <t>Impacto no Negócio</t>
        </is>
      </c>
      <c r="M5" s="6" t="inlineStr">
        <is>
          <t>Gestão de Pessoas</t>
        </is>
      </c>
      <c r="N5" s="6" t="inlineStr">
        <is>
          <t>Relacionamento e Influência</t>
        </is>
      </c>
      <c r="O5" s="6" t="inlineStr">
        <is>
          <t>Responsabilidade por Informações</t>
        </is>
      </c>
      <c r="P5" s="6" t="inlineStr">
        <is>
          <t>Condições de Trabalho e Risco</t>
        </is>
      </c>
      <c r="Q5" s="6" t="inlineStr">
        <is>
          <t>Pts - Conhecimento e Formação</t>
        </is>
      </c>
      <c r="R5" s="6" t="inlineStr">
        <is>
          <t>Pts - Experiência</t>
        </is>
      </c>
      <c r="S5" s="6" t="inlineStr">
        <is>
          <t>Pts - Complexidade</t>
        </is>
      </c>
      <c r="T5" s="6" t="inlineStr">
        <is>
          <t>Pts - Autonomia</t>
        </is>
      </c>
      <c r="U5" s="6" t="inlineStr">
        <is>
          <t>Pts - Tomada de Decisão</t>
        </is>
      </c>
      <c r="V5" s="6" t="inlineStr">
        <is>
          <t>Pts - Impacto no Negócio</t>
        </is>
      </c>
      <c r="W5" s="6" t="inlineStr">
        <is>
          <t>Pts - Gestão de Pessoas</t>
        </is>
      </c>
      <c r="X5" s="6" t="inlineStr">
        <is>
          <t>Pts - Relacionamento e Influência</t>
        </is>
      </c>
      <c r="Y5" s="6" t="inlineStr">
        <is>
          <t>Pts - Responsabilidade por Informações</t>
        </is>
      </c>
      <c r="Z5" s="6" t="inlineStr">
        <is>
          <t>Pts - Condições de Trabalho e Risco</t>
        </is>
      </c>
      <c r="AA5" s="6" t="inlineStr">
        <is>
          <t>Pontuação Total</t>
        </is>
      </c>
      <c r="AB5" s="6" t="inlineStr">
        <is>
          <t>Classe Salarial</t>
        </is>
      </c>
      <c r="AC5" s="6" t="inlineStr">
        <is>
          <t>Observações</t>
        </is>
      </c>
    </row>
    <row r="6">
      <c r="A6" s="7" t="inlineStr">
        <is>
          <t>J001</t>
        </is>
      </c>
      <c r="B6" s="7" t="inlineStr">
        <is>
          <t>Operações</t>
        </is>
      </c>
      <c r="C6" s="7" t="inlineStr">
        <is>
          <t>Operações</t>
        </is>
      </c>
      <c r="D6" s="7" t="inlineStr">
        <is>
          <t>Operador de Operações I</t>
        </is>
      </c>
      <c r="E6" s="7" t="inlineStr">
        <is>
          <t>Operacional I</t>
        </is>
      </c>
      <c r="F6" s="7" t="n">
        <v>30</v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9">
        <f>IF(G6="","",INDEX(Metodologia!$D$5:$H$5,1,G6))</f>
        <v/>
      </c>
      <c r="R6" s="9">
        <f>IF(H6="","",INDEX(Metodologia!$D$6:$H$6,1,H6))</f>
        <v/>
      </c>
      <c r="S6" s="9">
        <f>IF(I6="","",INDEX(Metodologia!$D$7:$H$7,1,I6))</f>
        <v/>
      </c>
      <c r="T6" s="9">
        <f>IF(J6="","",INDEX(Metodologia!$D$8:$H$8,1,J6))</f>
        <v/>
      </c>
      <c r="U6" s="9">
        <f>IF(K6="","",INDEX(Metodologia!$D$9:$H$9,1,K6))</f>
        <v/>
      </c>
      <c r="V6" s="9">
        <f>IF(L6="","",INDEX(Metodologia!$D$10:$H$10,1,L6))</f>
        <v/>
      </c>
      <c r="W6" s="9">
        <f>IF(M6="","",INDEX(Metodologia!$D$11:$H$11,1,M6))</f>
        <v/>
      </c>
      <c r="X6" s="9">
        <f>IF(N6="","",INDEX(Metodologia!$D$12:$H$12,1,N6))</f>
        <v/>
      </c>
      <c r="Y6" s="9">
        <f>IF(O6="","",INDEX(Metodologia!$D$13:$H$13,1,O6))</f>
        <v/>
      </c>
      <c r="Z6" s="9">
        <f>IF(P6="","",INDEX(Metodologia!$D$14:$H$14,1,P6))</f>
        <v/>
      </c>
      <c r="AA6" s="10">
        <f>IF(COUNTA(G6:P6)=0,"",SUM(Q6:Z6))</f>
        <v/>
      </c>
      <c r="AB6" s="11" t="inlineStr">
        <is>
          <t>A definir</t>
        </is>
      </c>
      <c r="AC6" s="12" t="n"/>
    </row>
    <row r="7">
      <c r="A7" s="13" t="inlineStr">
        <is>
          <t>J002</t>
        </is>
      </c>
      <c r="B7" s="13" t="inlineStr">
        <is>
          <t>Operações</t>
        </is>
      </c>
      <c r="C7" s="13" t="inlineStr">
        <is>
          <t>Operações</t>
        </is>
      </c>
      <c r="D7" s="13" t="inlineStr">
        <is>
          <t>Operador de Operações II</t>
        </is>
      </c>
      <c r="E7" s="13" t="inlineStr">
        <is>
          <t>Operacional II</t>
        </is>
      </c>
      <c r="F7" s="13" t="n">
        <v>22</v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9">
        <f>IF(G7="","",INDEX(Metodologia!$D$5:$H$5,1,G7))</f>
        <v/>
      </c>
      <c r="R7" s="9">
        <f>IF(H7="","",INDEX(Metodologia!$D$6:$H$6,1,H7))</f>
        <v/>
      </c>
      <c r="S7" s="9">
        <f>IF(I7="","",INDEX(Metodologia!$D$7:$H$7,1,I7))</f>
        <v/>
      </c>
      <c r="T7" s="9">
        <f>IF(J7="","",INDEX(Metodologia!$D$8:$H$8,1,J7))</f>
        <v/>
      </c>
      <c r="U7" s="9">
        <f>IF(K7="","",INDEX(Metodologia!$D$9:$H$9,1,K7))</f>
        <v/>
      </c>
      <c r="V7" s="9">
        <f>IF(L7="","",INDEX(Metodologia!$D$10:$H$10,1,L7))</f>
        <v/>
      </c>
      <c r="W7" s="9">
        <f>IF(M7="","",INDEX(Metodologia!$D$11:$H$11,1,M7))</f>
        <v/>
      </c>
      <c r="X7" s="9">
        <f>IF(N7="","",INDEX(Metodologia!$D$12:$H$12,1,N7))</f>
        <v/>
      </c>
      <c r="Y7" s="9">
        <f>IF(O7="","",INDEX(Metodologia!$D$13:$H$13,1,O7))</f>
        <v/>
      </c>
      <c r="Z7" s="9">
        <f>IF(P7="","",INDEX(Metodologia!$D$14:$H$14,1,P7))</f>
        <v/>
      </c>
      <c r="AA7" s="10">
        <f>IF(COUNTA(G7:P7)=0,"",SUM(Q7:Z7))</f>
        <v/>
      </c>
      <c r="AB7" s="11" t="inlineStr">
        <is>
          <t>A definir</t>
        </is>
      </c>
      <c r="AC7" s="12" t="n"/>
    </row>
    <row r="8">
      <c r="A8" s="7" t="inlineStr">
        <is>
          <t>J003</t>
        </is>
      </c>
      <c r="B8" s="7" t="inlineStr">
        <is>
          <t>Operações</t>
        </is>
      </c>
      <c r="C8" s="7" t="inlineStr">
        <is>
          <t>Operações</t>
        </is>
      </c>
      <c r="D8" s="7" t="inlineStr">
        <is>
          <t>Operador de Operações III</t>
        </is>
      </c>
      <c r="E8" s="7" t="inlineStr">
        <is>
          <t>Operacional III</t>
        </is>
      </c>
      <c r="F8" s="7" t="n">
        <v>16</v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9">
        <f>IF(G8="","",INDEX(Metodologia!$D$5:$H$5,1,G8))</f>
        <v/>
      </c>
      <c r="R8" s="9">
        <f>IF(H8="","",INDEX(Metodologia!$D$6:$H$6,1,H8))</f>
        <v/>
      </c>
      <c r="S8" s="9">
        <f>IF(I8="","",INDEX(Metodologia!$D$7:$H$7,1,I8))</f>
        <v/>
      </c>
      <c r="T8" s="9">
        <f>IF(J8="","",INDEX(Metodologia!$D$8:$H$8,1,J8))</f>
        <v/>
      </c>
      <c r="U8" s="9">
        <f>IF(K8="","",INDEX(Metodologia!$D$9:$H$9,1,K8))</f>
        <v/>
      </c>
      <c r="V8" s="9">
        <f>IF(L8="","",INDEX(Metodologia!$D$10:$H$10,1,L8))</f>
        <v/>
      </c>
      <c r="W8" s="9">
        <f>IF(M8="","",INDEX(Metodologia!$D$11:$H$11,1,M8))</f>
        <v/>
      </c>
      <c r="X8" s="9">
        <f>IF(N8="","",INDEX(Metodologia!$D$12:$H$12,1,N8))</f>
        <v/>
      </c>
      <c r="Y8" s="9">
        <f>IF(O8="","",INDEX(Metodologia!$D$13:$H$13,1,O8))</f>
        <v/>
      </c>
      <c r="Z8" s="9">
        <f>IF(P8="","",INDEX(Metodologia!$D$14:$H$14,1,P8))</f>
        <v/>
      </c>
      <c r="AA8" s="10">
        <f>IF(COUNTA(G8:P8)=0,"",SUM(Q8:Z8))</f>
        <v/>
      </c>
      <c r="AB8" s="11" t="inlineStr">
        <is>
          <t>A definir</t>
        </is>
      </c>
      <c r="AC8" s="12" t="n"/>
    </row>
    <row r="9">
      <c r="A9" s="13" t="inlineStr">
        <is>
          <t>J004</t>
        </is>
      </c>
      <c r="B9" s="13" t="inlineStr">
        <is>
          <t>Operações</t>
        </is>
      </c>
      <c r="C9" s="13" t="inlineStr">
        <is>
          <t>Operações</t>
        </is>
      </c>
      <c r="D9" s="13" t="inlineStr">
        <is>
          <t>Supervisor de Operações</t>
        </is>
      </c>
      <c r="E9" s="13" t="inlineStr">
        <is>
          <t>Supervisão</t>
        </is>
      </c>
      <c r="F9" s="13" t="n">
        <v>12</v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9">
        <f>IF(G9="","",INDEX(Metodologia!$D$5:$H$5,1,G9))</f>
        <v/>
      </c>
      <c r="R9" s="9">
        <f>IF(H9="","",INDEX(Metodologia!$D$6:$H$6,1,H9))</f>
        <v/>
      </c>
      <c r="S9" s="9">
        <f>IF(I9="","",INDEX(Metodologia!$D$7:$H$7,1,I9))</f>
        <v/>
      </c>
      <c r="T9" s="9">
        <f>IF(J9="","",INDEX(Metodologia!$D$8:$H$8,1,J9))</f>
        <v/>
      </c>
      <c r="U9" s="9">
        <f>IF(K9="","",INDEX(Metodologia!$D$9:$H$9,1,K9))</f>
        <v/>
      </c>
      <c r="V9" s="9">
        <f>IF(L9="","",INDEX(Metodologia!$D$10:$H$10,1,L9))</f>
        <v/>
      </c>
      <c r="W9" s="9">
        <f>IF(M9="","",INDEX(Metodologia!$D$11:$H$11,1,M9))</f>
        <v/>
      </c>
      <c r="X9" s="9">
        <f>IF(N9="","",INDEX(Metodologia!$D$12:$H$12,1,N9))</f>
        <v/>
      </c>
      <c r="Y9" s="9">
        <f>IF(O9="","",INDEX(Metodologia!$D$13:$H$13,1,O9))</f>
        <v/>
      </c>
      <c r="Z9" s="9">
        <f>IF(P9="","",INDEX(Metodologia!$D$14:$H$14,1,P9))</f>
        <v/>
      </c>
      <c r="AA9" s="10">
        <f>IF(COUNTA(G9:P9)=0,"",SUM(Q9:Z9))</f>
        <v/>
      </c>
      <c r="AB9" s="11" t="inlineStr">
        <is>
          <t>A definir</t>
        </is>
      </c>
      <c r="AC9" s="12" t="n"/>
    </row>
    <row r="10">
      <c r="A10" s="7" t="inlineStr">
        <is>
          <t>J005</t>
        </is>
      </c>
      <c r="B10" s="7" t="inlineStr">
        <is>
          <t>Operações</t>
        </is>
      </c>
      <c r="C10" s="7" t="inlineStr">
        <is>
          <t>Operações</t>
        </is>
      </c>
      <c r="D10" s="7" t="inlineStr">
        <is>
          <t>Coordenador de Operações</t>
        </is>
      </c>
      <c r="E10" s="7" t="inlineStr">
        <is>
          <t>Coordenação</t>
        </is>
      </c>
      <c r="F10" s="7" t="n">
        <v>8</v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9">
        <f>IF(G10="","",INDEX(Metodologia!$D$5:$H$5,1,G10))</f>
        <v/>
      </c>
      <c r="R10" s="9">
        <f>IF(H10="","",INDEX(Metodologia!$D$6:$H$6,1,H10))</f>
        <v/>
      </c>
      <c r="S10" s="9">
        <f>IF(I10="","",INDEX(Metodologia!$D$7:$H$7,1,I10))</f>
        <v/>
      </c>
      <c r="T10" s="9">
        <f>IF(J10="","",INDEX(Metodologia!$D$8:$H$8,1,J10))</f>
        <v/>
      </c>
      <c r="U10" s="9">
        <f>IF(K10="","",INDEX(Metodologia!$D$9:$H$9,1,K10))</f>
        <v/>
      </c>
      <c r="V10" s="9">
        <f>IF(L10="","",INDEX(Metodologia!$D$10:$H$10,1,L10))</f>
        <v/>
      </c>
      <c r="W10" s="9">
        <f>IF(M10="","",INDEX(Metodologia!$D$11:$H$11,1,M10))</f>
        <v/>
      </c>
      <c r="X10" s="9">
        <f>IF(N10="","",INDEX(Metodologia!$D$12:$H$12,1,N10))</f>
        <v/>
      </c>
      <c r="Y10" s="9">
        <f>IF(O10="","",INDEX(Metodologia!$D$13:$H$13,1,O10))</f>
        <v/>
      </c>
      <c r="Z10" s="9">
        <f>IF(P10="","",INDEX(Metodologia!$D$14:$H$14,1,P10))</f>
        <v/>
      </c>
      <c r="AA10" s="10">
        <f>IF(COUNTA(G10:P10)=0,"",SUM(Q10:Z10))</f>
        <v/>
      </c>
      <c r="AB10" s="11" t="inlineStr">
        <is>
          <t>A definir</t>
        </is>
      </c>
      <c r="AC10" s="12" t="n"/>
    </row>
    <row r="11">
      <c r="A11" s="13" t="inlineStr">
        <is>
          <t>J006</t>
        </is>
      </c>
      <c r="B11" s="13" t="inlineStr">
        <is>
          <t>Operações</t>
        </is>
      </c>
      <c r="C11" s="13" t="inlineStr">
        <is>
          <t>Operações</t>
        </is>
      </c>
      <c r="D11" s="13" t="inlineStr">
        <is>
          <t>Gerente de Operações</t>
        </is>
      </c>
      <c r="E11" s="13" t="inlineStr">
        <is>
          <t>Gerência</t>
        </is>
      </c>
      <c r="F11" s="13" t="n">
        <v>4</v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9">
        <f>IF(G11="","",INDEX(Metodologia!$D$5:$H$5,1,G11))</f>
        <v/>
      </c>
      <c r="R11" s="9">
        <f>IF(H11="","",INDEX(Metodologia!$D$6:$H$6,1,H11))</f>
        <v/>
      </c>
      <c r="S11" s="9">
        <f>IF(I11="","",INDEX(Metodologia!$D$7:$H$7,1,I11))</f>
        <v/>
      </c>
      <c r="T11" s="9">
        <f>IF(J11="","",INDEX(Metodologia!$D$8:$H$8,1,J11))</f>
        <v/>
      </c>
      <c r="U11" s="9">
        <f>IF(K11="","",INDEX(Metodologia!$D$9:$H$9,1,K11))</f>
        <v/>
      </c>
      <c r="V11" s="9">
        <f>IF(L11="","",INDEX(Metodologia!$D$10:$H$10,1,L11))</f>
        <v/>
      </c>
      <c r="W11" s="9">
        <f>IF(M11="","",INDEX(Metodologia!$D$11:$H$11,1,M11))</f>
        <v/>
      </c>
      <c r="X11" s="9">
        <f>IF(N11="","",INDEX(Metodologia!$D$12:$H$12,1,N11))</f>
        <v/>
      </c>
      <c r="Y11" s="9">
        <f>IF(O11="","",INDEX(Metodologia!$D$13:$H$13,1,O11))</f>
        <v/>
      </c>
      <c r="Z11" s="9">
        <f>IF(P11="","",INDEX(Metodologia!$D$14:$H$14,1,P11))</f>
        <v/>
      </c>
      <c r="AA11" s="10">
        <f>IF(COUNTA(G11:P11)=0,"",SUM(Q11:Z11))</f>
        <v/>
      </c>
      <c r="AB11" s="11" t="inlineStr">
        <is>
          <t>A definir</t>
        </is>
      </c>
      <c r="AC11" s="12" t="n"/>
    </row>
    <row r="12">
      <c r="A12" s="7" t="inlineStr">
        <is>
          <t>J007</t>
        </is>
      </c>
      <c r="B12" s="7" t="inlineStr">
        <is>
          <t>Manutenção</t>
        </is>
      </c>
      <c r="C12" s="7" t="inlineStr">
        <is>
          <t>Manutenção</t>
        </is>
      </c>
      <c r="D12" s="7" t="inlineStr">
        <is>
          <t>Auxiliar de Manutenção</t>
        </is>
      </c>
      <c r="E12" s="7" t="inlineStr">
        <is>
          <t>Auxiliar</t>
        </is>
      </c>
      <c r="F12" s="7" t="n">
        <v>8</v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9">
        <f>IF(G12="","",INDEX(Metodologia!$D$5:$H$5,1,G12))</f>
        <v/>
      </c>
      <c r="R12" s="9">
        <f>IF(H12="","",INDEX(Metodologia!$D$6:$H$6,1,H12))</f>
        <v/>
      </c>
      <c r="S12" s="9">
        <f>IF(I12="","",INDEX(Metodologia!$D$7:$H$7,1,I12))</f>
        <v/>
      </c>
      <c r="T12" s="9">
        <f>IF(J12="","",INDEX(Metodologia!$D$8:$H$8,1,J12))</f>
        <v/>
      </c>
      <c r="U12" s="9">
        <f>IF(K12="","",INDEX(Metodologia!$D$9:$H$9,1,K12))</f>
        <v/>
      </c>
      <c r="V12" s="9">
        <f>IF(L12="","",INDEX(Metodologia!$D$10:$H$10,1,L12))</f>
        <v/>
      </c>
      <c r="W12" s="9">
        <f>IF(M12="","",INDEX(Metodologia!$D$11:$H$11,1,M12))</f>
        <v/>
      </c>
      <c r="X12" s="9">
        <f>IF(N12="","",INDEX(Metodologia!$D$12:$H$12,1,N12))</f>
        <v/>
      </c>
      <c r="Y12" s="9">
        <f>IF(O12="","",INDEX(Metodologia!$D$13:$H$13,1,O12))</f>
        <v/>
      </c>
      <c r="Z12" s="9">
        <f>IF(P12="","",INDEX(Metodologia!$D$14:$H$14,1,P12))</f>
        <v/>
      </c>
      <c r="AA12" s="10">
        <f>IF(COUNTA(G12:P12)=0,"",SUM(Q12:Z12))</f>
        <v/>
      </c>
      <c r="AB12" s="11" t="inlineStr">
        <is>
          <t>A definir</t>
        </is>
      </c>
      <c r="AC12" s="12" t="n"/>
    </row>
    <row r="13">
      <c r="A13" s="13" t="inlineStr">
        <is>
          <t>J008</t>
        </is>
      </c>
      <c r="B13" s="13" t="inlineStr">
        <is>
          <t>Manutenção</t>
        </is>
      </c>
      <c r="C13" s="13" t="inlineStr">
        <is>
          <t>Manutenção</t>
        </is>
      </c>
      <c r="D13" s="13" t="inlineStr">
        <is>
          <t>Mecânico de Manutenção I</t>
        </is>
      </c>
      <c r="E13" s="13" t="inlineStr">
        <is>
          <t>Técnico I</t>
        </is>
      </c>
      <c r="F13" s="13" t="n">
        <v>10</v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9">
        <f>IF(G13="","",INDEX(Metodologia!$D$5:$H$5,1,G13))</f>
        <v/>
      </c>
      <c r="R13" s="9">
        <f>IF(H13="","",INDEX(Metodologia!$D$6:$H$6,1,H13))</f>
        <v/>
      </c>
      <c r="S13" s="9">
        <f>IF(I13="","",INDEX(Metodologia!$D$7:$H$7,1,I13))</f>
        <v/>
      </c>
      <c r="T13" s="9">
        <f>IF(J13="","",INDEX(Metodologia!$D$8:$H$8,1,J13))</f>
        <v/>
      </c>
      <c r="U13" s="9">
        <f>IF(K13="","",INDEX(Metodologia!$D$9:$H$9,1,K13))</f>
        <v/>
      </c>
      <c r="V13" s="9">
        <f>IF(L13="","",INDEX(Metodologia!$D$10:$H$10,1,L13))</f>
        <v/>
      </c>
      <c r="W13" s="9">
        <f>IF(M13="","",INDEX(Metodologia!$D$11:$H$11,1,M13))</f>
        <v/>
      </c>
      <c r="X13" s="9">
        <f>IF(N13="","",INDEX(Metodologia!$D$12:$H$12,1,N13))</f>
        <v/>
      </c>
      <c r="Y13" s="9">
        <f>IF(O13="","",INDEX(Metodologia!$D$13:$H$13,1,O13))</f>
        <v/>
      </c>
      <c r="Z13" s="9">
        <f>IF(P13="","",INDEX(Metodologia!$D$14:$H$14,1,P13))</f>
        <v/>
      </c>
      <c r="AA13" s="10">
        <f>IF(COUNTA(G13:P13)=0,"",SUM(Q13:Z13))</f>
        <v/>
      </c>
      <c r="AB13" s="11" t="inlineStr">
        <is>
          <t>A definir</t>
        </is>
      </c>
      <c r="AC13" s="12" t="n"/>
    </row>
    <row r="14">
      <c r="A14" s="7" t="inlineStr">
        <is>
          <t>J009</t>
        </is>
      </c>
      <c r="B14" s="7" t="inlineStr">
        <is>
          <t>Manutenção</t>
        </is>
      </c>
      <c r="C14" s="7" t="inlineStr">
        <is>
          <t>Manutenção</t>
        </is>
      </c>
      <c r="D14" s="7" t="inlineStr">
        <is>
          <t>Mecânico de Manutenção II</t>
        </is>
      </c>
      <c r="E14" s="7" t="inlineStr">
        <is>
          <t>Técnico II</t>
        </is>
      </c>
      <c r="F14" s="7" t="n">
        <v>8</v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9">
        <f>IF(G14="","",INDEX(Metodologia!$D$5:$H$5,1,G14))</f>
        <v/>
      </c>
      <c r="R14" s="9">
        <f>IF(H14="","",INDEX(Metodologia!$D$6:$H$6,1,H14))</f>
        <v/>
      </c>
      <c r="S14" s="9">
        <f>IF(I14="","",INDEX(Metodologia!$D$7:$H$7,1,I14))</f>
        <v/>
      </c>
      <c r="T14" s="9">
        <f>IF(J14="","",INDEX(Metodologia!$D$8:$H$8,1,J14))</f>
        <v/>
      </c>
      <c r="U14" s="9">
        <f>IF(K14="","",INDEX(Metodologia!$D$9:$H$9,1,K14))</f>
        <v/>
      </c>
      <c r="V14" s="9">
        <f>IF(L14="","",INDEX(Metodologia!$D$10:$H$10,1,L14))</f>
        <v/>
      </c>
      <c r="W14" s="9">
        <f>IF(M14="","",INDEX(Metodologia!$D$11:$H$11,1,M14))</f>
        <v/>
      </c>
      <c r="X14" s="9">
        <f>IF(N14="","",INDEX(Metodologia!$D$12:$H$12,1,N14))</f>
        <v/>
      </c>
      <c r="Y14" s="9">
        <f>IF(O14="","",INDEX(Metodologia!$D$13:$H$13,1,O14))</f>
        <v/>
      </c>
      <c r="Z14" s="9">
        <f>IF(P14="","",INDEX(Metodologia!$D$14:$H$14,1,P14))</f>
        <v/>
      </c>
      <c r="AA14" s="10">
        <f>IF(COUNTA(G14:P14)=0,"",SUM(Q14:Z14))</f>
        <v/>
      </c>
      <c r="AB14" s="11" t="inlineStr">
        <is>
          <t>A definir</t>
        </is>
      </c>
      <c r="AC14" s="12" t="n"/>
    </row>
    <row r="15">
      <c r="A15" s="13" t="inlineStr">
        <is>
          <t>J010</t>
        </is>
      </c>
      <c r="B15" s="13" t="inlineStr">
        <is>
          <t>Manutenção</t>
        </is>
      </c>
      <c r="C15" s="13" t="inlineStr">
        <is>
          <t>Manutenção</t>
        </is>
      </c>
      <c r="D15" s="13" t="inlineStr">
        <is>
          <t>Mecânico de Manutenção III</t>
        </is>
      </c>
      <c r="E15" s="13" t="inlineStr">
        <is>
          <t>Técnico III</t>
        </is>
      </c>
      <c r="F15" s="13" t="n">
        <v>6</v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9">
        <f>IF(G15="","",INDEX(Metodologia!$D$5:$H$5,1,G15))</f>
        <v/>
      </c>
      <c r="R15" s="9">
        <f>IF(H15="","",INDEX(Metodologia!$D$6:$H$6,1,H15))</f>
        <v/>
      </c>
      <c r="S15" s="9">
        <f>IF(I15="","",INDEX(Metodologia!$D$7:$H$7,1,I15))</f>
        <v/>
      </c>
      <c r="T15" s="9">
        <f>IF(J15="","",INDEX(Metodologia!$D$8:$H$8,1,J15))</f>
        <v/>
      </c>
      <c r="U15" s="9">
        <f>IF(K15="","",INDEX(Metodologia!$D$9:$H$9,1,K15))</f>
        <v/>
      </c>
      <c r="V15" s="9">
        <f>IF(L15="","",INDEX(Metodologia!$D$10:$H$10,1,L15))</f>
        <v/>
      </c>
      <c r="W15" s="9">
        <f>IF(M15="","",INDEX(Metodologia!$D$11:$H$11,1,M15))</f>
        <v/>
      </c>
      <c r="X15" s="9">
        <f>IF(N15="","",INDEX(Metodologia!$D$12:$H$12,1,N15))</f>
        <v/>
      </c>
      <c r="Y15" s="9">
        <f>IF(O15="","",INDEX(Metodologia!$D$13:$H$13,1,O15))</f>
        <v/>
      </c>
      <c r="Z15" s="9">
        <f>IF(P15="","",INDEX(Metodologia!$D$14:$H$14,1,P15))</f>
        <v/>
      </c>
      <c r="AA15" s="10">
        <f>IF(COUNTA(G15:P15)=0,"",SUM(Q15:Z15))</f>
        <v/>
      </c>
      <c r="AB15" s="11" t="inlineStr">
        <is>
          <t>A definir</t>
        </is>
      </c>
      <c r="AC15" s="12" t="n"/>
    </row>
    <row r="16">
      <c r="A16" s="7" t="inlineStr">
        <is>
          <t>J011</t>
        </is>
      </c>
      <c r="B16" s="7" t="inlineStr">
        <is>
          <t>Manutenção</t>
        </is>
      </c>
      <c r="C16" s="7" t="inlineStr">
        <is>
          <t>Manutenção</t>
        </is>
      </c>
      <c r="D16" s="7" t="inlineStr">
        <is>
          <t>Supervisor de Manutenção</t>
        </is>
      </c>
      <c r="E16" s="7" t="inlineStr">
        <is>
          <t>Supervisão</t>
        </is>
      </c>
      <c r="F16" s="7" t="n">
        <v>6</v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9">
        <f>IF(G16="","",INDEX(Metodologia!$D$5:$H$5,1,G16))</f>
        <v/>
      </c>
      <c r="R16" s="9">
        <f>IF(H16="","",INDEX(Metodologia!$D$6:$H$6,1,H16))</f>
        <v/>
      </c>
      <c r="S16" s="9">
        <f>IF(I16="","",INDEX(Metodologia!$D$7:$H$7,1,I16))</f>
        <v/>
      </c>
      <c r="T16" s="9">
        <f>IF(J16="","",INDEX(Metodologia!$D$8:$H$8,1,J16))</f>
        <v/>
      </c>
      <c r="U16" s="9">
        <f>IF(K16="","",INDEX(Metodologia!$D$9:$H$9,1,K16))</f>
        <v/>
      </c>
      <c r="V16" s="9">
        <f>IF(L16="","",INDEX(Metodologia!$D$10:$H$10,1,L16))</f>
        <v/>
      </c>
      <c r="W16" s="9">
        <f>IF(M16="","",INDEX(Metodologia!$D$11:$H$11,1,M16))</f>
        <v/>
      </c>
      <c r="X16" s="9">
        <f>IF(N16="","",INDEX(Metodologia!$D$12:$H$12,1,N16))</f>
        <v/>
      </c>
      <c r="Y16" s="9">
        <f>IF(O16="","",INDEX(Metodologia!$D$13:$H$13,1,O16))</f>
        <v/>
      </c>
      <c r="Z16" s="9">
        <f>IF(P16="","",INDEX(Metodologia!$D$14:$H$14,1,P16))</f>
        <v/>
      </c>
      <c r="AA16" s="10">
        <f>IF(COUNTA(G16:P16)=0,"",SUM(Q16:Z16))</f>
        <v/>
      </c>
      <c r="AB16" s="11" t="inlineStr">
        <is>
          <t>A definir</t>
        </is>
      </c>
      <c r="AC16" s="12" t="n"/>
    </row>
    <row r="17">
      <c r="A17" s="13" t="inlineStr">
        <is>
          <t>J012</t>
        </is>
      </c>
      <c r="B17" s="13" t="inlineStr">
        <is>
          <t>Manutenção</t>
        </is>
      </c>
      <c r="C17" s="13" t="inlineStr">
        <is>
          <t>Manutenção</t>
        </is>
      </c>
      <c r="D17" s="13" t="inlineStr">
        <is>
          <t>Coordenador de Manutenção</t>
        </is>
      </c>
      <c r="E17" s="13" t="inlineStr">
        <is>
          <t>Coordenação</t>
        </is>
      </c>
      <c r="F17" s="13" t="n">
        <v>4</v>
      </c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9">
        <f>IF(G17="","",INDEX(Metodologia!$D$5:$H$5,1,G17))</f>
        <v/>
      </c>
      <c r="R17" s="9">
        <f>IF(H17="","",INDEX(Metodologia!$D$6:$H$6,1,H17))</f>
        <v/>
      </c>
      <c r="S17" s="9">
        <f>IF(I17="","",INDEX(Metodologia!$D$7:$H$7,1,I17))</f>
        <v/>
      </c>
      <c r="T17" s="9">
        <f>IF(J17="","",INDEX(Metodologia!$D$8:$H$8,1,J17))</f>
        <v/>
      </c>
      <c r="U17" s="9">
        <f>IF(K17="","",INDEX(Metodologia!$D$9:$H$9,1,K17))</f>
        <v/>
      </c>
      <c r="V17" s="9">
        <f>IF(L17="","",INDEX(Metodologia!$D$10:$H$10,1,L17))</f>
        <v/>
      </c>
      <c r="W17" s="9">
        <f>IF(M17="","",INDEX(Metodologia!$D$11:$H$11,1,M17))</f>
        <v/>
      </c>
      <c r="X17" s="9">
        <f>IF(N17="","",INDEX(Metodologia!$D$12:$H$12,1,N17))</f>
        <v/>
      </c>
      <c r="Y17" s="9">
        <f>IF(O17="","",INDEX(Metodologia!$D$13:$H$13,1,O17))</f>
        <v/>
      </c>
      <c r="Z17" s="9">
        <f>IF(P17="","",INDEX(Metodologia!$D$14:$H$14,1,P17))</f>
        <v/>
      </c>
      <c r="AA17" s="10">
        <f>IF(COUNTA(G17:P17)=0,"",SUM(Q17:Z17))</f>
        <v/>
      </c>
      <c r="AB17" s="11" t="inlineStr">
        <is>
          <t>A definir</t>
        </is>
      </c>
      <c r="AC17" s="12" t="n"/>
    </row>
    <row r="18">
      <c r="A18" s="7" t="inlineStr">
        <is>
          <t>J013</t>
        </is>
      </c>
      <c r="B18" s="7" t="inlineStr">
        <is>
          <t>Comercial</t>
        </is>
      </c>
      <c r="C18" s="7" t="inlineStr">
        <is>
          <t>Comercial &amp; Vendas</t>
        </is>
      </c>
      <c r="D18" s="7" t="inlineStr">
        <is>
          <t>Assistente Comercial</t>
        </is>
      </c>
      <c r="E18" s="7" t="inlineStr">
        <is>
          <t>Assistente</t>
        </is>
      </c>
      <c r="F18" s="7" t="n">
        <v>4</v>
      </c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9">
        <f>IF(G18="","",INDEX(Metodologia!$D$5:$H$5,1,G18))</f>
        <v/>
      </c>
      <c r="R18" s="9">
        <f>IF(H18="","",INDEX(Metodologia!$D$6:$H$6,1,H18))</f>
        <v/>
      </c>
      <c r="S18" s="9">
        <f>IF(I18="","",INDEX(Metodologia!$D$7:$H$7,1,I18))</f>
        <v/>
      </c>
      <c r="T18" s="9">
        <f>IF(J18="","",INDEX(Metodologia!$D$8:$H$8,1,J18))</f>
        <v/>
      </c>
      <c r="U18" s="9">
        <f>IF(K18="","",INDEX(Metodologia!$D$9:$H$9,1,K18))</f>
        <v/>
      </c>
      <c r="V18" s="9">
        <f>IF(L18="","",INDEX(Metodologia!$D$10:$H$10,1,L18))</f>
        <v/>
      </c>
      <c r="W18" s="9">
        <f>IF(M18="","",INDEX(Metodologia!$D$11:$H$11,1,M18))</f>
        <v/>
      </c>
      <c r="X18" s="9">
        <f>IF(N18="","",INDEX(Metodologia!$D$12:$H$12,1,N18))</f>
        <v/>
      </c>
      <c r="Y18" s="9">
        <f>IF(O18="","",INDEX(Metodologia!$D$13:$H$13,1,O18))</f>
        <v/>
      </c>
      <c r="Z18" s="9">
        <f>IF(P18="","",INDEX(Metodologia!$D$14:$H$14,1,P18))</f>
        <v/>
      </c>
      <c r="AA18" s="10">
        <f>IF(COUNTA(G18:P18)=0,"",SUM(Q18:Z18))</f>
        <v/>
      </c>
      <c r="AB18" s="11" t="inlineStr">
        <is>
          <t>A definir</t>
        </is>
      </c>
      <c r="AC18" s="12" t="n"/>
    </row>
    <row r="19">
      <c r="A19" s="13" t="inlineStr">
        <is>
          <t>J014</t>
        </is>
      </c>
      <c r="B19" s="13" t="inlineStr">
        <is>
          <t>Comercial</t>
        </is>
      </c>
      <c r="C19" s="13" t="inlineStr">
        <is>
          <t>Comercial &amp; Vendas</t>
        </is>
      </c>
      <c r="D19" s="13" t="inlineStr">
        <is>
          <t>Analista Comercial</t>
        </is>
      </c>
      <c r="E19" s="13" t="inlineStr">
        <is>
          <t>Analista</t>
        </is>
      </c>
      <c r="F19" s="13" t="n">
        <v>4</v>
      </c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9">
        <f>IF(G19="","",INDEX(Metodologia!$D$5:$H$5,1,G19))</f>
        <v/>
      </c>
      <c r="R19" s="9">
        <f>IF(H19="","",INDEX(Metodologia!$D$6:$H$6,1,H19))</f>
        <v/>
      </c>
      <c r="S19" s="9">
        <f>IF(I19="","",INDEX(Metodologia!$D$7:$H$7,1,I19))</f>
        <v/>
      </c>
      <c r="T19" s="9">
        <f>IF(J19="","",INDEX(Metodologia!$D$8:$H$8,1,J19))</f>
        <v/>
      </c>
      <c r="U19" s="9">
        <f>IF(K19="","",INDEX(Metodologia!$D$9:$H$9,1,K19))</f>
        <v/>
      </c>
      <c r="V19" s="9">
        <f>IF(L19="","",INDEX(Metodologia!$D$10:$H$10,1,L19))</f>
        <v/>
      </c>
      <c r="W19" s="9">
        <f>IF(M19="","",INDEX(Metodologia!$D$11:$H$11,1,M19))</f>
        <v/>
      </c>
      <c r="X19" s="9">
        <f>IF(N19="","",INDEX(Metodologia!$D$12:$H$12,1,N19))</f>
        <v/>
      </c>
      <c r="Y19" s="9">
        <f>IF(O19="","",INDEX(Metodologia!$D$13:$H$13,1,O19))</f>
        <v/>
      </c>
      <c r="Z19" s="9">
        <f>IF(P19="","",INDEX(Metodologia!$D$14:$H$14,1,P19))</f>
        <v/>
      </c>
      <c r="AA19" s="10">
        <f>IF(COUNTA(G19:P19)=0,"",SUM(Q19:Z19))</f>
        <v/>
      </c>
      <c r="AB19" s="11" t="inlineStr">
        <is>
          <t>A definir</t>
        </is>
      </c>
      <c r="AC19" s="12" t="n"/>
    </row>
    <row r="20">
      <c r="A20" s="7" t="inlineStr">
        <is>
          <t>J015</t>
        </is>
      </c>
      <c r="B20" s="7" t="inlineStr">
        <is>
          <t>Comercial</t>
        </is>
      </c>
      <c r="C20" s="7" t="inlineStr">
        <is>
          <t>Comercial &amp; Vendas</t>
        </is>
      </c>
      <c r="D20" s="7" t="inlineStr">
        <is>
          <t>Executivo de Contas I</t>
        </is>
      </c>
      <c r="E20" s="7" t="inlineStr">
        <is>
          <t>Comercial I</t>
        </is>
      </c>
      <c r="F20" s="7" t="n">
        <v>8</v>
      </c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9">
        <f>IF(G20="","",INDEX(Metodologia!$D$5:$H$5,1,G20))</f>
        <v/>
      </c>
      <c r="R20" s="9">
        <f>IF(H20="","",INDEX(Metodologia!$D$6:$H$6,1,H20))</f>
        <v/>
      </c>
      <c r="S20" s="9">
        <f>IF(I20="","",INDEX(Metodologia!$D$7:$H$7,1,I20))</f>
        <v/>
      </c>
      <c r="T20" s="9">
        <f>IF(J20="","",INDEX(Metodologia!$D$8:$H$8,1,J20))</f>
        <v/>
      </c>
      <c r="U20" s="9">
        <f>IF(K20="","",INDEX(Metodologia!$D$9:$H$9,1,K20))</f>
        <v/>
      </c>
      <c r="V20" s="9">
        <f>IF(L20="","",INDEX(Metodologia!$D$10:$H$10,1,L20))</f>
        <v/>
      </c>
      <c r="W20" s="9">
        <f>IF(M20="","",INDEX(Metodologia!$D$11:$H$11,1,M20))</f>
        <v/>
      </c>
      <c r="X20" s="9">
        <f>IF(N20="","",INDEX(Metodologia!$D$12:$H$12,1,N20))</f>
        <v/>
      </c>
      <c r="Y20" s="9">
        <f>IF(O20="","",INDEX(Metodologia!$D$13:$H$13,1,O20))</f>
        <v/>
      </c>
      <c r="Z20" s="9">
        <f>IF(P20="","",INDEX(Metodologia!$D$14:$H$14,1,P20))</f>
        <v/>
      </c>
      <c r="AA20" s="10">
        <f>IF(COUNTA(G20:P20)=0,"",SUM(Q20:Z20))</f>
        <v/>
      </c>
      <c r="AB20" s="11" t="inlineStr">
        <is>
          <t>A definir</t>
        </is>
      </c>
      <c r="AC20" s="12" t="n"/>
    </row>
    <row r="21">
      <c r="A21" s="13" t="inlineStr">
        <is>
          <t>J016</t>
        </is>
      </c>
      <c r="B21" s="13" t="inlineStr">
        <is>
          <t>Comercial</t>
        </is>
      </c>
      <c r="C21" s="13" t="inlineStr">
        <is>
          <t>Comercial &amp; Vendas</t>
        </is>
      </c>
      <c r="D21" s="13" t="inlineStr">
        <is>
          <t>Executivo de Contas II</t>
        </is>
      </c>
      <c r="E21" s="13" t="inlineStr">
        <is>
          <t>Comercial II</t>
        </is>
      </c>
      <c r="F21" s="13" t="n">
        <v>6</v>
      </c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9">
        <f>IF(G21="","",INDEX(Metodologia!$D$5:$H$5,1,G21))</f>
        <v/>
      </c>
      <c r="R21" s="9">
        <f>IF(H21="","",INDEX(Metodologia!$D$6:$H$6,1,H21))</f>
        <v/>
      </c>
      <c r="S21" s="9">
        <f>IF(I21="","",INDEX(Metodologia!$D$7:$H$7,1,I21))</f>
        <v/>
      </c>
      <c r="T21" s="9">
        <f>IF(J21="","",INDEX(Metodologia!$D$8:$H$8,1,J21))</f>
        <v/>
      </c>
      <c r="U21" s="9">
        <f>IF(K21="","",INDEX(Metodologia!$D$9:$H$9,1,K21))</f>
        <v/>
      </c>
      <c r="V21" s="9">
        <f>IF(L21="","",INDEX(Metodologia!$D$10:$H$10,1,L21))</f>
        <v/>
      </c>
      <c r="W21" s="9">
        <f>IF(M21="","",INDEX(Metodologia!$D$11:$H$11,1,M21))</f>
        <v/>
      </c>
      <c r="X21" s="9">
        <f>IF(N21="","",INDEX(Metodologia!$D$12:$H$12,1,N21))</f>
        <v/>
      </c>
      <c r="Y21" s="9">
        <f>IF(O21="","",INDEX(Metodologia!$D$13:$H$13,1,O21))</f>
        <v/>
      </c>
      <c r="Z21" s="9">
        <f>IF(P21="","",INDEX(Metodologia!$D$14:$H$14,1,P21))</f>
        <v/>
      </c>
      <c r="AA21" s="10">
        <f>IF(COUNTA(G21:P21)=0,"",SUM(Q21:Z21))</f>
        <v/>
      </c>
      <c r="AB21" s="11" t="inlineStr">
        <is>
          <t>A definir</t>
        </is>
      </c>
      <c r="AC21" s="12" t="n"/>
    </row>
    <row r="22">
      <c r="A22" s="7" t="inlineStr">
        <is>
          <t>J017</t>
        </is>
      </c>
      <c r="B22" s="7" t="inlineStr">
        <is>
          <t>Comercial</t>
        </is>
      </c>
      <c r="C22" s="7" t="inlineStr">
        <is>
          <t>Comercial &amp; Vendas</t>
        </is>
      </c>
      <c r="D22" s="7" t="inlineStr">
        <is>
          <t>Coordenador Comercial</t>
        </is>
      </c>
      <c r="E22" s="7" t="inlineStr">
        <is>
          <t>Coordenação</t>
        </is>
      </c>
      <c r="F22" s="7" t="n">
        <v>3</v>
      </c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9">
        <f>IF(G22="","",INDEX(Metodologia!$D$5:$H$5,1,G22))</f>
        <v/>
      </c>
      <c r="R22" s="9">
        <f>IF(H22="","",INDEX(Metodologia!$D$6:$H$6,1,H22))</f>
        <v/>
      </c>
      <c r="S22" s="9">
        <f>IF(I22="","",INDEX(Metodologia!$D$7:$H$7,1,I22))</f>
        <v/>
      </c>
      <c r="T22" s="9">
        <f>IF(J22="","",INDEX(Metodologia!$D$8:$H$8,1,J22))</f>
        <v/>
      </c>
      <c r="U22" s="9">
        <f>IF(K22="","",INDEX(Metodologia!$D$9:$H$9,1,K22))</f>
        <v/>
      </c>
      <c r="V22" s="9">
        <f>IF(L22="","",INDEX(Metodologia!$D$10:$H$10,1,L22))</f>
        <v/>
      </c>
      <c r="W22" s="9">
        <f>IF(M22="","",INDEX(Metodologia!$D$11:$H$11,1,M22))</f>
        <v/>
      </c>
      <c r="X22" s="9">
        <f>IF(N22="","",INDEX(Metodologia!$D$12:$H$12,1,N22))</f>
        <v/>
      </c>
      <c r="Y22" s="9">
        <f>IF(O22="","",INDEX(Metodologia!$D$13:$H$13,1,O22))</f>
        <v/>
      </c>
      <c r="Z22" s="9">
        <f>IF(P22="","",INDEX(Metodologia!$D$14:$H$14,1,P22))</f>
        <v/>
      </c>
      <c r="AA22" s="10">
        <f>IF(COUNTA(G22:P22)=0,"",SUM(Q22:Z22))</f>
        <v/>
      </c>
      <c r="AB22" s="11" t="inlineStr">
        <is>
          <t>A definir</t>
        </is>
      </c>
      <c r="AC22" s="12" t="n"/>
    </row>
    <row r="23">
      <c r="A23" s="13" t="inlineStr">
        <is>
          <t>J018</t>
        </is>
      </c>
      <c r="B23" s="13" t="inlineStr">
        <is>
          <t>Comercial</t>
        </is>
      </c>
      <c r="C23" s="13" t="inlineStr">
        <is>
          <t>Comercial &amp; Vendas</t>
        </is>
      </c>
      <c r="D23" s="13" t="inlineStr">
        <is>
          <t>Gerente Comercial</t>
        </is>
      </c>
      <c r="E23" s="13" t="inlineStr">
        <is>
          <t>Gerência</t>
        </is>
      </c>
      <c r="F23" s="13" t="n">
        <v>3</v>
      </c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9">
        <f>IF(G23="","",INDEX(Metodologia!$D$5:$H$5,1,G23))</f>
        <v/>
      </c>
      <c r="R23" s="9">
        <f>IF(H23="","",INDEX(Metodologia!$D$6:$H$6,1,H23))</f>
        <v/>
      </c>
      <c r="S23" s="9">
        <f>IF(I23="","",INDEX(Metodologia!$D$7:$H$7,1,I23))</f>
        <v/>
      </c>
      <c r="T23" s="9">
        <f>IF(J23="","",INDEX(Metodologia!$D$8:$H$8,1,J23))</f>
        <v/>
      </c>
      <c r="U23" s="9">
        <f>IF(K23="","",INDEX(Metodologia!$D$9:$H$9,1,K23))</f>
        <v/>
      </c>
      <c r="V23" s="9">
        <f>IF(L23="","",INDEX(Metodologia!$D$10:$H$10,1,L23))</f>
        <v/>
      </c>
      <c r="W23" s="9">
        <f>IF(M23="","",INDEX(Metodologia!$D$11:$H$11,1,M23))</f>
        <v/>
      </c>
      <c r="X23" s="9">
        <f>IF(N23="","",INDEX(Metodologia!$D$12:$H$12,1,N23))</f>
        <v/>
      </c>
      <c r="Y23" s="9">
        <f>IF(O23="","",INDEX(Metodologia!$D$13:$H$13,1,O23))</f>
        <v/>
      </c>
      <c r="Z23" s="9">
        <f>IF(P23="","",INDEX(Metodologia!$D$14:$H$14,1,P23))</f>
        <v/>
      </c>
      <c r="AA23" s="10">
        <f>IF(COUNTA(G23:P23)=0,"",SUM(Q23:Z23))</f>
        <v/>
      </c>
      <c r="AB23" s="11" t="inlineStr">
        <is>
          <t>A definir</t>
        </is>
      </c>
      <c r="AC23" s="12" t="n"/>
    </row>
    <row r="24">
      <c r="A24" s="7" t="inlineStr">
        <is>
          <t>J019</t>
        </is>
      </c>
      <c r="B24" s="7" t="inlineStr">
        <is>
          <t>Engenharia</t>
        </is>
      </c>
      <c r="C24" s="7" t="inlineStr">
        <is>
          <t>Engenharia &amp; Projetos</t>
        </is>
      </c>
      <c r="D24" s="7" t="inlineStr">
        <is>
          <t>Técnico de Projetos</t>
        </is>
      </c>
      <c r="E24" s="7" t="inlineStr">
        <is>
          <t>Técnico</t>
        </is>
      </c>
      <c r="F24" s="7" t="n">
        <v>5</v>
      </c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9">
        <f>IF(G24="","",INDEX(Metodologia!$D$5:$H$5,1,G24))</f>
        <v/>
      </c>
      <c r="R24" s="9">
        <f>IF(H24="","",INDEX(Metodologia!$D$6:$H$6,1,H24))</f>
        <v/>
      </c>
      <c r="S24" s="9">
        <f>IF(I24="","",INDEX(Metodologia!$D$7:$H$7,1,I24))</f>
        <v/>
      </c>
      <c r="T24" s="9">
        <f>IF(J24="","",INDEX(Metodologia!$D$8:$H$8,1,J24))</f>
        <v/>
      </c>
      <c r="U24" s="9">
        <f>IF(K24="","",INDEX(Metodologia!$D$9:$H$9,1,K24))</f>
        <v/>
      </c>
      <c r="V24" s="9">
        <f>IF(L24="","",INDEX(Metodologia!$D$10:$H$10,1,L24))</f>
        <v/>
      </c>
      <c r="W24" s="9">
        <f>IF(M24="","",INDEX(Metodologia!$D$11:$H$11,1,M24))</f>
        <v/>
      </c>
      <c r="X24" s="9">
        <f>IF(N24="","",INDEX(Metodologia!$D$12:$H$12,1,N24))</f>
        <v/>
      </c>
      <c r="Y24" s="9">
        <f>IF(O24="","",INDEX(Metodologia!$D$13:$H$13,1,O24))</f>
        <v/>
      </c>
      <c r="Z24" s="9">
        <f>IF(P24="","",INDEX(Metodologia!$D$14:$H$14,1,P24))</f>
        <v/>
      </c>
      <c r="AA24" s="10">
        <f>IF(COUNTA(G24:P24)=0,"",SUM(Q24:Z24))</f>
        <v/>
      </c>
      <c r="AB24" s="11" t="inlineStr">
        <is>
          <t>A definir</t>
        </is>
      </c>
      <c r="AC24" s="12" t="n"/>
    </row>
    <row r="25">
      <c r="A25" s="13" t="inlineStr">
        <is>
          <t>J020</t>
        </is>
      </c>
      <c r="B25" s="13" t="inlineStr">
        <is>
          <t>Engenharia</t>
        </is>
      </c>
      <c r="C25" s="13" t="inlineStr">
        <is>
          <t>Engenharia &amp; Projetos</t>
        </is>
      </c>
      <c r="D25" s="13" t="inlineStr">
        <is>
          <t>Engenheiro de Projetos I</t>
        </is>
      </c>
      <c r="E25" s="13" t="inlineStr">
        <is>
          <t>Profissional I</t>
        </is>
      </c>
      <c r="F25" s="13" t="n">
        <v>6</v>
      </c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9">
        <f>IF(G25="","",INDEX(Metodologia!$D$5:$H$5,1,G25))</f>
        <v/>
      </c>
      <c r="R25" s="9">
        <f>IF(H25="","",INDEX(Metodologia!$D$6:$H$6,1,H25))</f>
        <v/>
      </c>
      <c r="S25" s="9">
        <f>IF(I25="","",INDEX(Metodologia!$D$7:$H$7,1,I25))</f>
        <v/>
      </c>
      <c r="T25" s="9">
        <f>IF(J25="","",INDEX(Metodologia!$D$8:$H$8,1,J25))</f>
        <v/>
      </c>
      <c r="U25" s="9">
        <f>IF(K25="","",INDEX(Metodologia!$D$9:$H$9,1,K25))</f>
        <v/>
      </c>
      <c r="V25" s="9">
        <f>IF(L25="","",INDEX(Metodologia!$D$10:$H$10,1,L25))</f>
        <v/>
      </c>
      <c r="W25" s="9">
        <f>IF(M25="","",INDEX(Metodologia!$D$11:$H$11,1,M25))</f>
        <v/>
      </c>
      <c r="X25" s="9">
        <f>IF(N25="","",INDEX(Metodologia!$D$12:$H$12,1,N25))</f>
        <v/>
      </c>
      <c r="Y25" s="9">
        <f>IF(O25="","",INDEX(Metodologia!$D$13:$H$13,1,O25))</f>
        <v/>
      </c>
      <c r="Z25" s="9">
        <f>IF(P25="","",INDEX(Metodologia!$D$14:$H$14,1,P25))</f>
        <v/>
      </c>
      <c r="AA25" s="10">
        <f>IF(COUNTA(G25:P25)=0,"",SUM(Q25:Z25))</f>
        <v/>
      </c>
      <c r="AB25" s="11" t="inlineStr">
        <is>
          <t>A definir</t>
        </is>
      </c>
      <c r="AC25" s="12" t="n"/>
    </row>
    <row r="26">
      <c r="A26" s="7" t="inlineStr">
        <is>
          <t>J021</t>
        </is>
      </c>
      <c r="B26" s="7" t="inlineStr">
        <is>
          <t>Engenharia</t>
        </is>
      </c>
      <c r="C26" s="7" t="inlineStr">
        <is>
          <t>Engenharia &amp; Projetos</t>
        </is>
      </c>
      <c r="D26" s="7" t="inlineStr">
        <is>
          <t>Engenheiro de Projetos II</t>
        </is>
      </c>
      <c r="E26" s="7" t="inlineStr">
        <is>
          <t>Profissional II</t>
        </is>
      </c>
      <c r="F26" s="7" t="n">
        <v>5</v>
      </c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9">
        <f>IF(G26="","",INDEX(Metodologia!$D$5:$H$5,1,G26))</f>
        <v/>
      </c>
      <c r="R26" s="9">
        <f>IF(H26="","",INDEX(Metodologia!$D$6:$H$6,1,H26))</f>
        <v/>
      </c>
      <c r="S26" s="9">
        <f>IF(I26="","",INDEX(Metodologia!$D$7:$H$7,1,I26))</f>
        <v/>
      </c>
      <c r="T26" s="9">
        <f>IF(J26="","",INDEX(Metodologia!$D$8:$H$8,1,J26))</f>
        <v/>
      </c>
      <c r="U26" s="9">
        <f>IF(K26="","",INDEX(Metodologia!$D$9:$H$9,1,K26))</f>
        <v/>
      </c>
      <c r="V26" s="9">
        <f>IF(L26="","",INDEX(Metodologia!$D$10:$H$10,1,L26))</f>
        <v/>
      </c>
      <c r="W26" s="9">
        <f>IF(M26="","",INDEX(Metodologia!$D$11:$H$11,1,M26))</f>
        <v/>
      </c>
      <c r="X26" s="9">
        <f>IF(N26="","",INDEX(Metodologia!$D$12:$H$12,1,N26))</f>
        <v/>
      </c>
      <c r="Y26" s="9">
        <f>IF(O26="","",INDEX(Metodologia!$D$13:$H$13,1,O26))</f>
        <v/>
      </c>
      <c r="Z26" s="9">
        <f>IF(P26="","",INDEX(Metodologia!$D$14:$H$14,1,P26))</f>
        <v/>
      </c>
      <c r="AA26" s="10">
        <f>IF(COUNTA(G26:P26)=0,"",SUM(Q26:Z26))</f>
        <v/>
      </c>
      <c r="AB26" s="11" t="inlineStr">
        <is>
          <t>A definir</t>
        </is>
      </c>
      <c r="AC26" s="12" t="n"/>
    </row>
    <row r="27">
      <c r="A27" s="13" t="inlineStr">
        <is>
          <t>J022</t>
        </is>
      </c>
      <c r="B27" s="13" t="inlineStr">
        <is>
          <t>Engenharia</t>
        </is>
      </c>
      <c r="C27" s="13" t="inlineStr">
        <is>
          <t>Engenharia &amp; Projetos</t>
        </is>
      </c>
      <c r="D27" s="13" t="inlineStr">
        <is>
          <t>Engenheiro de Projetos III</t>
        </is>
      </c>
      <c r="E27" s="13" t="inlineStr">
        <is>
          <t>Profissional III</t>
        </is>
      </c>
      <c r="F27" s="13" t="n">
        <v>4</v>
      </c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9">
        <f>IF(G27="","",INDEX(Metodologia!$D$5:$H$5,1,G27))</f>
        <v/>
      </c>
      <c r="R27" s="9">
        <f>IF(H27="","",INDEX(Metodologia!$D$6:$H$6,1,H27))</f>
        <v/>
      </c>
      <c r="S27" s="9">
        <f>IF(I27="","",INDEX(Metodologia!$D$7:$H$7,1,I27))</f>
        <v/>
      </c>
      <c r="T27" s="9">
        <f>IF(J27="","",INDEX(Metodologia!$D$8:$H$8,1,J27))</f>
        <v/>
      </c>
      <c r="U27" s="9">
        <f>IF(K27="","",INDEX(Metodologia!$D$9:$H$9,1,K27))</f>
        <v/>
      </c>
      <c r="V27" s="9">
        <f>IF(L27="","",INDEX(Metodologia!$D$10:$H$10,1,L27))</f>
        <v/>
      </c>
      <c r="W27" s="9">
        <f>IF(M27="","",INDEX(Metodologia!$D$11:$H$11,1,M27))</f>
        <v/>
      </c>
      <c r="X27" s="9">
        <f>IF(N27="","",INDEX(Metodologia!$D$12:$H$12,1,N27))</f>
        <v/>
      </c>
      <c r="Y27" s="9">
        <f>IF(O27="","",INDEX(Metodologia!$D$13:$H$13,1,O27))</f>
        <v/>
      </c>
      <c r="Z27" s="9">
        <f>IF(P27="","",INDEX(Metodologia!$D$14:$H$14,1,P27))</f>
        <v/>
      </c>
      <c r="AA27" s="10">
        <f>IF(COUNTA(G27:P27)=0,"",SUM(Q27:Z27))</f>
        <v/>
      </c>
      <c r="AB27" s="11" t="inlineStr">
        <is>
          <t>A definir</t>
        </is>
      </c>
      <c r="AC27" s="12" t="n"/>
    </row>
    <row r="28">
      <c r="A28" s="7" t="inlineStr">
        <is>
          <t>J023</t>
        </is>
      </c>
      <c r="B28" s="7" t="inlineStr">
        <is>
          <t>Engenharia</t>
        </is>
      </c>
      <c r="C28" s="7" t="inlineStr">
        <is>
          <t>Engenharia &amp; Projetos</t>
        </is>
      </c>
      <c r="D28" s="7" t="inlineStr">
        <is>
          <t>Coordenador de Engenharia</t>
        </is>
      </c>
      <c r="E28" s="7" t="inlineStr">
        <is>
          <t>Coordenação</t>
        </is>
      </c>
      <c r="F28" s="7" t="n">
        <v>3</v>
      </c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9">
        <f>IF(G28="","",INDEX(Metodologia!$D$5:$H$5,1,G28))</f>
        <v/>
      </c>
      <c r="R28" s="9">
        <f>IF(H28="","",INDEX(Metodologia!$D$6:$H$6,1,H28))</f>
        <v/>
      </c>
      <c r="S28" s="9">
        <f>IF(I28="","",INDEX(Metodologia!$D$7:$H$7,1,I28))</f>
        <v/>
      </c>
      <c r="T28" s="9">
        <f>IF(J28="","",INDEX(Metodologia!$D$8:$H$8,1,J28))</f>
        <v/>
      </c>
      <c r="U28" s="9">
        <f>IF(K28="","",INDEX(Metodologia!$D$9:$H$9,1,K28))</f>
        <v/>
      </c>
      <c r="V28" s="9">
        <f>IF(L28="","",INDEX(Metodologia!$D$10:$H$10,1,L28))</f>
        <v/>
      </c>
      <c r="W28" s="9">
        <f>IF(M28="","",INDEX(Metodologia!$D$11:$H$11,1,M28))</f>
        <v/>
      </c>
      <c r="X28" s="9">
        <f>IF(N28="","",INDEX(Metodologia!$D$12:$H$12,1,N28))</f>
        <v/>
      </c>
      <c r="Y28" s="9">
        <f>IF(O28="","",INDEX(Metodologia!$D$13:$H$13,1,O28))</f>
        <v/>
      </c>
      <c r="Z28" s="9">
        <f>IF(P28="","",INDEX(Metodologia!$D$14:$H$14,1,P28))</f>
        <v/>
      </c>
      <c r="AA28" s="10">
        <f>IF(COUNTA(G28:P28)=0,"",SUM(Q28:Z28))</f>
        <v/>
      </c>
      <c r="AB28" s="11" t="inlineStr">
        <is>
          <t>A definir</t>
        </is>
      </c>
      <c r="AC28" s="12" t="n"/>
    </row>
    <row r="29">
      <c r="A29" s="13" t="inlineStr">
        <is>
          <t>J024</t>
        </is>
      </c>
      <c r="B29" s="13" t="inlineStr">
        <is>
          <t>Engenharia</t>
        </is>
      </c>
      <c r="C29" s="13" t="inlineStr">
        <is>
          <t>Engenharia &amp; Projetos</t>
        </is>
      </c>
      <c r="D29" s="13" t="inlineStr">
        <is>
          <t>Gerente de Engenharia</t>
        </is>
      </c>
      <c r="E29" s="13" t="inlineStr">
        <is>
          <t>Gerência</t>
        </is>
      </c>
      <c r="F29" s="13" t="n">
        <v>2</v>
      </c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9">
        <f>IF(G29="","",INDEX(Metodologia!$D$5:$H$5,1,G29))</f>
        <v/>
      </c>
      <c r="R29" s="9">
        <f>IF(H29="","",INDEX(Metodologia!$D$6:$H$6,1,H29))</f>
        <v/>
      </c>
      <c r="S29" s="9">
        <f>IF(I29="","",INDEX(Metodologia!$D$7:$H$7,1,I29))</f>
        <v/>
      </c>
      <c r="T29" s="9">
        <f>IF(J29="","",INDEX(Metodologia!$D$8:$H$8,1,J29))</f>
        <v/>
      </c>
      <c r="U29" s="9">
        <f>IF(K29="","",INDEX(Metodologia!$D$9:$H$9,1,K29))</f>
        <v/>
      </c>
      <c r="V29" s="9">
        <f>IF(L29="","",INDEX(Metodologia!$D$10:$H$10,1,L29))</f>
        <v/>
      </c>
      <c r="W29" s="9">
        <f>IF(M29="","",INDEX(Metodologia!$D$11:$H$11,1,M29))</f>
        <v/>
      </c>
      <c r="X29" s="9">
        <f>IF(N29="","",INDEX(Metodologia!$D$12:$H$12,1,N29))</f>
        <v/>
      </c>
      <c r="Y29" s="9">
        <f>IF(O29="","",INDEX(Metodologia!$D$13:$H$13,1,O29))</f>
        <v/>
      </c>
      <c r="Z29" s="9">
        <f>IF(P29="","",INDEX(Metodologia!$D$14:$H$14,1,P29))</f>
        <v/>
      </c>
      <c r="AA29" s="10">
        <f>IF(COUNTA(G29:P29)=0,"",SUM(Q29:Z29))</f>
        <v/>
      </c>
      <c r="AB29" s="11" t="inlineStr">
        <is>
          <t>A definir</t>
        </is>
      </c>
      <c r="AC29" s="12" t="n"/>
    </row>
    <row r="30">
      <c r="A30" s="7" t="inlineStr">
        <is>
          <t>J025</t>
        </is>
      </c>
      <c r="B30" s="7" t="inlineStr">
        <is>
          <t>Logística</t>
        </is>
      </c>
      <c r="C30" s="7" t="inlineStr">
        <is>
          <t>Logística</t>
        </is>
      </c>
      <c r="D30" s="7" t="inlineStr">
        <is>
          <t>Auxiliar de Logística</t>
        </is>
      </c>
      <c r="E30" s="7" t="inlineStr">
        <is>
          <t>Auxiliar</t>
        </is>
      </c>
      <c r="F30" s="7" t="n">
        <v>6</v>
      </c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9">
        <f>IF(G30="","",INDEX(Metodologia!$D$5:$H$5,1,G30))</f>
        <v/>
      </c>
      <c r="R30" s="9">
        <f>IF(H30="","",INDEX(Metodologia!$D$6:$H$6,1,H30))</f>
        <v/>
      </c>
      <c r="S30" s="9">
        <f>IF(I30="","",INDEX(Metodologia!$D$7:$H$7,1,I30))</f>
        <v/>
      </c>
      <c r="T30" s="9">
        <f>IF(J30="","",INDEX(Metodologia!$D$8:$H$8,1,J30))</f>
        <v/>
      </c>
      <c r="U30" s="9">
        <f>IF(K30="","",INDEX(Metodologia!$D$9:$H$9,1,K30))</f>
        <v/>
      </c>
      <c r="V30" s="9">
        <f>IF(L30="","",INDEX(Metodologia!$D$10:$H$10,1,L30))</f>
        <v/>
      </c>
      <c r="W30" s="9">
        <f>IF(M30="","",INDEX(Metodologia!$D$11:$H$11,1,M30))</f>
        <v/>
      </c>
      <c r="X30" s="9">
        <f>IF(N30="","",INDEX(Metodologia!$D$12:$H$12,1,N30))</f>
        <v/>
      </c>
      <c r="Y30" s="9">
        <f>IF(O30="","",INDEX(Metodologia!$D$13:$H$13,1,O30))</f>
        <v/>
      </c>
      <c r="Z30" s="9">
        <f>IF(P30="","",INDEX(Metodologia!$D$14:$H$14,1,P30))</f>
        <v/>
      </c>
      <c r="AA30" s="10">
        <f>IF(COUNTA(G30:P30)=0,"",SUM(Q30:Z30))</f>
        <v/>
      </c>
      <c r="AB30" s="11" t="inlineStr">
        <is>
          <t>A definir</t>
        </is>
      </c>
      <c r="AC30" s="12" t="n"/>
    </row>
    <row r="31">
      <c r="A31" s="13" t="inlineStr">
        <is>
          <t>J026</t>
        </is>
      </c>
      <c r="B31" s="13" t="inlineStr">
        <is>
          <t>Logística</t>
        </is>
      </c>
      <c r="C31" s="13" t="inlineStr">
        <is>
          <t>Logística</t>
        </is>
      </c>
      <c r="D31" s="13" t="inlineStr">
        <is>
          <t>Assistente de Logística</t>
        </is>
      </c>
      <c r="E31" s="13" t="inlineStr">
        <is>
          <t>Assistente</t>
        </is>
      </c>
      <c r="F31" s="13" t="n">
        <v>4</v>
      </c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9">
        <f>IF(G31="","",INDEX(Metodologia!$D$5:$H$5,1,G31))</f>
        <v/>
      </c>
      <c r="R31" s="9">
        <f>IF(H31="","",INDEX(Metodologia!$D$6:$H$6,1,H31))</f>
        <v/>
      </c>
      <c r="S31" s="9">
        <f>IF(I31="","",INDEX(Metodologia!$D$7:$H$7,1,I31))</f>
        <v/>
      </c>
      <c r="T31" s="9">
        <f>IF(J31="","",INDEX(Metodologia!$D$8:$H$8,1,J31))</f>
        <v/>
      </c>
      <c r="U31" s="9">
        <f>IF(K31="","",INDEX(Metodologia!$D$9:$H$9,1,K31))</f>
        <v/>
      </c>
      <c r="V31" s="9">
        <f>IF(L31="","",INDEX(Metodologia!$D$10:$H$10,1,L31))</f>
        <v/>
      </c>
      <c r="W31" s="9">
        <f>IF(M31="","",INDEX(Metodologia!$D$11:$H$11,1,M31))</f>
        <v/>
      </c>
      <c r="X31" s="9">
        <f>IF(N31="","",INDEX(Metodologia!$D$12:$H$12,1,N31))</f>
        <v/>
      </c>
      <c r="Y31" s="9">
        <f>IF(O31="","",INDEX(Metodologia!$D$13:$H$13,1,O31))</f>
        <v/>
      </c>
      <c r="Z31" s="9">
        <f>IF(P31="","",INDEX(Metodologia!$D$14:$H$14,1,P31))</f>
        <v/>
      </c>
      <c r="AA31" s="10">
        <f>IF(COUNTA(G31:P31)=0,"",SUM(Q31:Z31))</f>
        <v/>
      </c>
      <c r="AB31" s="11" t="inlineStr">
        <is>
          <t>A definir</t>
        </is>
      </c>
      <c r="AC31" s="12" t="n"/>
    </row>
    <row r="32">
      <c r="A32" s="7" t="inlineStr">
        <is>
          <t>J027</t>
        </is>
      </c>
      <c r="B32" s="7" t="inlineStr">
        <is>
          <t>Logística</t>
        </is>
      </c>
      <c r="C32" s="7" t="inlineStr">
        <is>
          <t>Logística</t>
        </is>
      </c>
      <c r="D32" s="7" t="inlineStr">
        <is>
          <t>Analista de Logística</t>
        </is>
      </c>
      <c r="E32" s="7" t="inlineStr">
        <is>
          <t>Analista</t>
        </is>
      </c>
      <c r="F32" s="7" t="n">
        <v>5</v>
      </c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9">
        <f>IF(G32="","",INDEX(Metodologia!$D$5:$H$5,1,G32))</f>
        <v/>
      </c>
      <c r="R32" s="9">
        <f>IF(H32="","",INDEX(Metodologia!$D$6:$H$6,1,H32))</f>
        <v/>
      </c>
      <c r="S32" s="9">
        <f>IF(I32="","",INDEX(Metodologia!$D$7:$H$7,1,I32))</f>
        <v/>
      </c>
      <c r="T32" s="9">
        <f>IF(J32="","",INDEX(Metodologia!$D$8:$H$8,1,J32))</f>
        <v/>
      </c>
      <c r="U32" s="9">
        <f>IF(K32="","",INDEX(Metodologia!$D$9:$H$9,1,K32))</f>
        <v/>
      </c>
      <c r="V32" s="9">
        <f>IF(L32="","",INDEX(Metodologia!$D$10:$H$10,1,L32))</f>
        <v/>
      </c>
      <c r="W32" s="9">
        <f>IF(M32="","",INDEX(Metodologia!$D$11:$H$11,1,M32))</f>
        <v/>
      </c>
      <c r="X32" s="9">
        <f>IF(N32="","",INDEX(Metodologia!$D$12:$H$12,1,N32))</f>
        <v/>
      </c>
      <c r="Y32" s="9">
        <f>IF(O32="","",INDEX(Metodologia!$D$13:$H$13,1,O32))</f>
        <v/>
      </c>
      <c r="Z32" s="9">
        <f>IF(P32="","",INDEX(Metodologia!$D$14:$H$14,1,P32))</f>
        <v/>
      </c>
      <c r="AA32" s="10">
        <f>IF(COUNTA(G32:P32)=0,"",SUM(Q32:Z32))</f>
        <v/>
      </c>
      <c r="AB32" s="11" t="inlineStr">
        <is>
          <t>A definir</t>
        </is>
      </c>
      <c r="AC32" s="12" t="n"/>
    </row>
    <row r="33">
      <c r="A33" s="13" t="inlineStr">
        <is>
          <t>J028</t>
        </is>
      </c>
      <c r="B33" s="13" t="inlineStr">
        <is>
          <t>Logística</t>
        </is>
      </c>
      <c r="C33" s="13" t="inlineStr">
        <is>
          <t>Logística</t>
        </is>
      </c>
      <c r="D33" s="13" t="inlineStr">
        <is>
          <t>Supervisor de Logística</t>
        </is>
      </c>
      <c r="E33" s="13" t="inlineStr">
        <is>
          <t>Supervisão</t>
        </is>
      </c>
      <c r="F33" s="13" t="n">
        <v>4</v>
      </c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9">
        <f>IF(G33="","",INDEX(Metodologia!$D$5:$H$5,1,G33))</f>
        <v/>
      </c>
      <c r="R33" s="9">
        <f>IF(H33="","",INDEX(Metodologia!$D$6:$H$6,1,H33))</f>
        <v/>
      </c>
      <c r="S33" s="9">
        <f>IF(I33="","",INDEX(Metodologia!$D$7:$H$7,1,I33))</f>
        <v/>
      </c>
      <c r="T33" s="9">
        <f>IF(J33="","",INDEX(Metodologia!$D$8:$H$8,1,J33))</f>
        <v/>
      </c>
      <c r="U33" s="9">
        <f>IF(K33="","",INDEX(Metodologia!$D$9:$H$9,1,K33))</f>
        <v/>
      </c>
      <c r="V33" s="9">
        <f>IF(L33="","",INDEX(Metodologia!$D$10:$H$10,1,L33))</f>
        <v/>
      </c>
      <c r="W33" s="9">
        <f>IF(M33="","",INDEX(Metodologia!$D$11:$H$11,1,M33))</f>
        <v/>
      </c>
      <c r="X33" s="9">
        <f>IF(N33="","",INDEX(Metodologia!$D$12:$H$12,1,N33))</f>
        <v/>
      </c>
      <c r="Y33" s="9">
        <f>IF(O33="","",INDEX(Metodologia!$D$13:$H$13,1,O33))</f>
        <v/>
      </c>
      <c r="Z33" s="9">
        <f>IF(P33="","",INDEX(Metodologia!$D$14:$H$14,1,P33))</f>
        <v/>
      </c>
      <c r="AA33" s="10">
        <f>IF(COUNTA(G33:P33)=0,"",SUM(Q33:Z33))</f>
        <v/>
      </c>
      <c r="AB33" s="11" t="inlineStr">
        <is>
          <t>A definir</t>
        </is>
      </c>
      <c r="AC33" s="12" t="n"/>
    </row>
    <row r="34">
      <c r="A34" s="7" t="inlineStr">
        <is>
          <t>J029</t>
        </is>
      </c>
      <c r="B34" s="7" t="inlineStr">
        <is>
          <t>Logística</t>
        </is>
      </c>
      <c r="C34" s="7" t="inlineStr">
        <is>
          <t>Logística</t>
        </is>
      </c>
      <c r="D34" s="7" t="inlineStr">
        <is>
          <t>Coordenador de Logística</t>
        </is>
      </c>
      <c r="E34" s="7" t="inlineStr">
        <is>
          <t>Coordenação</t>
        </is>
      </c>
      <c r="F34" s="7" t="n">
        <v>3</v>
      </c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9">
        <f>IF(G34="","",INDEX(Metodologia!$D$5:$H$5,1,G34))</f>
        <v/>
      </c>
      <c r="R34" s="9">
        <f>IF(H34="","",INDEX(Metodologia!$D$6:$H$6,1,H34))</f>
        <v/>
      </c>
      <c r="S34" s="9">
        <f>IF(I34="","",INDEX(Metodologia!$D$7:$H$7,1,I34))</f>
        <v/>
      </c>
      <c r="T34" s="9">
        <f>IF(J34="","",INDEX(Metodologia!$D$8:$H$8,1,J34))</f>
        <v/>
      </c>
      <c r="U34" s="9">
        <f>IF(K34="","",INDEX(Metodologia!$D$9:$H$9,1,K34))</f>
        <v/>
      </c>
      <c r="V34" s="9">
        <f>IF(L34="","",INDEX(Metodologia!$D$10:$H$10,1,L34))</f>
        <v/>
      </c>
      <c r="W34" s="9">
        <f>IF(M34="","",INDEX(Metodologia!$D$11:$H$11,1,M34))</f>
        <v/>
      </c>
      <c r="X34" s="9">
        <f>IF(N34="","",INDEX(Metodologia!$D$12:$H$12,1,N34))</f>
        <v/>
      </c>
      <c r="Y34" s="9">
        <f>IF(O34="","",INDEX(Metodologia!$D$13:$H$13,1,O34))</f>
        <v/>
      </c>
      <c r="Z34" s="9">
        <f>IF(P34="","",INDEX(Metodologia!$D$14:$H$14,1,P34))</f>
        <v/>
      </c>
      <c r="AA34" s="10">
        <f>IF(COUNTA(G34:P34)=0,"",SUM(Q34:Z34))</f>
        <v/>
      </c>
      <c r="AB34" s="11" t="inlineStr">
        <is>
          <t>A definir</t>
        </is>
      </c>
      <c r="AC34" s="12" t="n"/>
    </row>
    <row r="35">
      <c r="A35" s="13" t="inlineStr">
        <is>
          <t>J030</t>
        </is>
      </c>
      <c r="B35" s="13" t="inlineStr">
        <is>
          <t>Logística</t>
        </is>
      </c>
      <c r="C35" s="13" t="inlineStr">
        <is>
          <t>Logística</t>
        </is>
      </c>
      <c r="D35" s="13" t="inlineStr">
        <is>
          <t>Gerente de Logística</t>
        </is>
      </c>
      <c r="E35" s="13" t="inlineStr">
        <is>
          <t>Gerência</t>
        </is>
      </c>
      <c r="F35" s="13" t="n">
        <v>2</v>
      </c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9">
        <f>IF(G35="","",INDEX(Metodologia!$D$5:$H$5,1,G35))</f>
        <v/>
      </c>
      <c r="R35" s="9">
        <f>IF(H35="","",INDEX(Metodologia!$D$6:$H$6,1,H35))</f>
        <v/>
      </c>
      <c r="S35" s="9">
        <f>IF(I35="","",INDEX(Metodologia!$D$7:$H$7,1,I35))</f>
        <v/>
      </c>
      <c r="T35" s="9">
        <f>IF(J35="","",INDEX(Metodologia!$D$8:$H$8,1,J35))</f>
        <v/>
      </c>
      <c r="U35" s="9">
        <f>IF(K35="","",INDEX(Metodologia!$D$9:$H$9,1,K35))</f>
        <v/>
      </c>
      <c r="V35" s="9">
        <f>IF(L35="","",INDEX(Metodologia!$D$10:$H$10,1,L35))</f>
        <v/>
      </c>
      <c r="W35" s="9">
        <f>IF(M35="","",INDEX(Metodologia!$D$11:$H$11,1,M35))</f>
        <v/>
      </c>
      <c r="X35" s="9">
        <f>IF(N35="","",INDEX(Metodologia!$D$12:$H$12,1,N35))</f>
        <v/>
      </c>
      <c r="Y35" s="9">
        <f>IF(O35="","",INDEX(Metodologia!$D$13:$H$13,1,O35))</f>
        <v/>
      </c>
      <c r="Z35" s="9">
        <f>IF(P35="","",INDEX(Metodologia!$D$14:$H$14,1,P35))</f>
        <v/>
      </c>
      <c r="AA35" s="10">
        <f>IF(COUNTA(G35:P35)=0,"",SUM(Q35:Z35))</f>
        <v/>
      </c>
      <c r="AB35" s="11" t="inlineStr">
        <is>
          <t>A definir</t>
        </is>
      </c>
      <c r="AC35" s="12" t="n"/>
    </row>
    <row r="36">
      <c r="A36" s="7" t="inlineStr">
        <is>
          <t>J031</t>
        </is>
      </c>
      <c r="B36" s="7" t="inlineStr">
        <is>
          <t>Financeiro</t>
        </is>
      </c>
      <c r="C36" s="7" t="inlineStr">
        <is>
          <t>Finanças</t>
        </is>
      </c>
      <c r="D36" s="7" t="inlineStr">
        <is>
          <t>Assistente Financeiro</t>
        </is>
      </c>
      <c r="E36" s="7" t="inlineStr">
        <is>
          <t>Assistente</t>
        </is>
      </c>
      <c r="F36" s="7" t="n">
        <v>4</v>
      </c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9">
        <f>IF(G36="","",INDEX(Metodologia!$D$5:$H$5,1,G36))</f>
        <v/>
      </c>
      <c r="R36" s="9">
        <f>IF(H36="","",INDEX(Metodologia!$D$6:$H$6,1,H36))</f>
        <v/>
      </c>
      <c r="S36" s="9">
        <f>IF(I36="","",INDEX(Metodologia!$D$7:$H$7,1,I36))</f>
        <v/>
      </c>
      <c r="T36" s="9">
        <f>IF(J36="","",INDEX(Metodologia!$D$8:$H$8,1,J36))</f>
        <v/>
      </c>
      <c r="U36" s="9">
        <f>IF(K36="","",INDEX(Metodologia!$D$9:$H$9,1,K36))</f>
        <v/>
      </c>
      <c r="V36" s="9">
        <f>IF(L36="","",INDEX(Metodologia!$D$10:$H$10,1,L36))</f>
        <v/>
      </c>
      <c r="W36" s="9">
        <f>IF(M36="","",INDEX(Metodologia!$D$11:$H$11,1,M36))</f>
        <v/>
      </c>
      <c r="X36" s="9">
        <f>IF(N36="","",INDEX(Metodologia!$D$12:$H$12,1,N36))</f>
        <v/>
      </c>
      <c r="Y36" s="9">
        <f>IF(O36="","",INDEX(Metodologia!$D$13:$H$13,1,O36))</f>
        <v/>
      </c>
      <c r="Z36" s="9">
        <f>IF(P36="","",INDEX(Metodologia!$D$14:$H$14,1,P36))</f>
        <v/>
      </c>
      <c r="AA36" s="10">
        <f>IF(COUNTA(G36:P36)=0,"",SUM(Q36:Z36))</f>
        <v/>
      </c>
      <c r="AB36" s="11" t="inlineStr">
        <is>
          <t>A definir</t>
        </is>
      </c>
      <c r="AC36" s="12" t="n"/>
    </row>
    <row r="37">
      <c r="A37" s="13" t="inlineStr">
        <is>
          <t>J032</t>
        </is>
      </c>
      <c r="B37" s="13" t="inlineStr">
        <is>
          <t>Financeiro</t>
        </is>
      </c>
      <c r="C37" s="13" t="inlineStr">
        <is>
          <t>Finanças</t>
        </is>
      </c>
      <c r="D37" s="13" t="inlineStr">
        <is>
          <t>Analista Financeiro I</t>
        </is>
      </c>
      <c r="E37" s="13" t="inlineStr">
        <is>
          <t>Analista I</t>
        </is>
      </c>
      <c r="F37" s="13" t="n">
        <v>4</v>
      </c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9">
        <f>IF(G37="","",INDEX(Metodologia!$D$5:$H$5,1,G37))</f>
        <v/>
      </c>
      <c r="R37" s="9">
        <f>IF(H37="","",INDEX(Metodologia!$D$6:$H$6,1,H37))</f>
        <v/>
      </c>
      <c r="S37" s="9">
        <f>IF(I37="","",INDEX(Metodologia!$D$7:$H$7,1,I37))</f>
        <v/>
      </c>
      <c r="T37" s="9">
        <f>IF(J37="","",INDEX(Metodologia!$D$8:$H$8,1,J37))</f>
        <v/>
      </c>
      <c r="U37" s="9">
        <f>IF(K37="","",INDEX(Metodologia!$D$9:$H$9,1,K37))</f>
        <v/>
      </c>
      <c r="V37" s="9">
        <f>IF(L37="","",INDEX(Metodologia!$D$10:$H$10,1,L37))</f>
        <v/>
      </c>
      <c r="W37" s="9">
        <f>IF(M37="","",INDEX(Metodologia!$D$11:$H$11,1,M37))</f>
        <v/>
      </c>
      <c r="X37" s="9">
        <f>IF(N37="","",INDEX(Metodologia!$D$12:$H$12,1,N37))</f>
        <v/>
      </c>
      <c r="Y37" s="9">
        <f>IF(O37="","",INDEX(Metodologia!$D$13:$H$13,1,O37))</f>
        <v/>
      </c>
      <c r="Z37" s="9">
        <f>IF(P37="","",INDEX(Metodologia!$D$14:$H$14,1,P37))</f>
        <v/>
      </c>
      <c r="AA37" s="10">
        <f>IF(COUNTA(G37:P37)=0,"",SUM(Q37:Z37))</f>
        <v/>
      </c>
      <c r="AB37" s="11" t="inlineStr">
        <is>
          <t>A definir</t>
        </is>
      </c>
      <c r="AC37" s="12" t="n"/>
    </row>
    <row r="38">
      <c r="A38" s="7" t="inlineStr">
        <is>
          <t>J033</t>
        </is>
      </c>
      <c r="B38" s="7" t="inlineStr">
        <is>
          <t>Financeiro</t>
        </is>
      </c>
      <c r="C38" s="7" t="inlineStr">
        <is>
          <t>Finanças</t>
        </is>
      </c>
      <c r="D38" s="7" t="inlineStr">
        <is>
          <t>Analista Financeiro II</t>
        </is>
      </c>
      <c r="E38" s="7" t="inlineStr">
        <is>
          <t>Analista II</t>
        </is>
      </c>
      <c r="F38" s="7" t="n">
        <v>4</v>
      </c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9">
        <f>IF(G38="","",INDEX(Metodologia!$D$5:$H$5,1,G38))</f>
        <v/>
      </c>
      <c r="R38" s="9">
        <f>IF(H38="","",INDEX(Metodologia!$D$6:$H$6,1,H38))</f>
        <v/>
      </c>
      <c r="S38" s="9">
        <f>IF(I38="","",INDEX(Metodologia!$D$7:$H$7,1,I38))</f>
        <v/>
      </c>
      <c r="T38" s="9">
        <f>IF(J38="","",INDEX(Metodologia!$D$8:$H$8,1,J38))</f>
        <v/>
      </c>
      <c r="U38" s="9">
        <f>IF(K38="","",INDEX(Metodologia!$D$9:$H$9,1,K38))</f>
        <v/>
      </c>
      <c r="V38" s="9">
        <f>IF(L38="","",INDEX(Metodologia!$D$10:$H$10,1,L38))</f>
        <v/>
      </c>
      <c r="W38" s="9">
        <f>IF(M38="","",INDEX(Metodologia!$D$11:$H$11,1,M38))</f>
        <v/>
      </c>
      <c r="X38" s="9">
        <f>IF(N38="","",INDEX(Metodologia!$D$12:$H$12,1,N38))</f>
        <v/>
      </c>
      <c r="Y38" s="9">
        <f>IF(O38="","",INDEX(Metodologia!$D$13:$H$13,1,O38))</f>
        <v/>
      </c>
      <c r="Z38" s="9">
        <f>IF(P38="","",INDEX(Metodologia!$D$14:$H$14,1,P38))</f>
        <v/>
      </c>
      <c r="AA38" s="10">
        <f>IF(COUNTA(G38:P38)=0,"",SUM(Q38:Z38))</f>
        <v/>
      </c>
      <c r="AB38" s="11" t="inlineStr">
        <is>
          <t>A definir</t>
        </is>
      </c>
      <c r="AC38" s="12" t="n"/>
    </row>
    <row r="39">
      <c r="A39" s="13" t="inlineStr">
        <is>
          <t>J034</t>
        </is>
      </c>
      <c r="B39" s="13" t="inlineStr">
        <is>
          <t>Financeiro</t>
        </is>
      </c>
      <c r="C39" s="13" t="inlineStr">
        <is>
          <t>Finanças</t>
        </is>
      </c>
      <c r="D39" s="13" t="inlineStr">
        <is>
          <t>Analista Financeiro III</t>
        </is>
      </c>
      <c r="E39" s="13" t="inlineStr">
        <is>
          <t>Analista III</t>
        </is>
      </c>
      <c r="F39" s="13" t="n">
        <v>3</v>
      </c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9">
        <f>IF(G39="","",INDEX(Metodologia!$D$5:$H$5,1,G39))</f>
        <v/>
      </c>
      <c r="R39" s="9">
        <f>IF(H39="","",INDEX(Metodologia!$D$6:$H$6,1,H39))</f>
        <v/>
      </c>
      <c r="S39" s="9">
        <f>IF(I39="","",INDEX(Metodologia!$D$7:$H$7,1,I39))</f>
        <v/>
      </c>
      <c r="T39" s="9">
        <f>IF(J39="","",INDEX(Metodologia!$D$8:$H$8,1,J39))</f>
        <v/>
      </c>
      <c r="U39" s="9">
        <f>IF(K39="","",INDEX(Metodologia!$D$9:$H$9,1,K39))</f>
        <v/>
      </c>
      <c r="V39" s="9">
        <f>IF(L39="","",INDEX(Metodologia!$D$10:$H$10,1,L39))</f>
        <v/>
      </c>
      <c r="W39" s="9">
        <f>IF(M39="","",INDEX(Metodologia!$D$11:$H$11,1,M39))</f>
        <v/>
      </c>
      <c r="X39" s="9">
        <f>IF(N39="","",INDEX(Metodologia!$D$12:$H$12,1,N39))</f>
        <v/>
      </c>
      <c r="Y39" s="9">
        <f>IF(O39="","",INDEX(Metodologia!$D$13:$H$13,1,O39))</f>
        <v/>
      </c>
      <c r="Z39" s="9">
        <f>IF(P39="","",INDEX(Metodologia!$D$14:$H$14,1,P39))</f>
        <v/>
      </c>
      <c r="AA39" s="10">
        <f>IF(COUNTA(G39:P39)=0,"",SUM(Q39:Z39))</f>
        <v/>
      </c>
      <c r="AB39" s="11" t="inlineStr">
        <is>
          <t>A definir</t>
        </is>
      </c>
      <c r="AC39" s="12" t="n"/>
    </row>
    <row r="40">
      <c r="A40" s="7" t="inlineStr">
        <is>
          <t>J035</t>
        </is>
      </c>
      <c r="B40" s="7" t="inlineStr">
        <is>
          <t>Financeiro</t>
        </is>
      </c>
      <c r="C40" s="7" t="inlineStr">
        <is>
          <t>Finanças</t>
        </is>
      </c>
      <c r="D40" s="7" t="inlineStr">
        <is>
          <t>Coordenador Financeiro</t>
        </is>
      </c>
      <c r="E40" s="7" t="inlineStr">
        <is>
          <t>Coordenação</t>
        </is>
      </c>
      <c r="F40" s="7" t="n">
        <v>3</v>
      </c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9">
        <f>IF(G40="","",INDEX(Metodologia!$D$5:$H$5,1,G40))</f>
        <v/>
      </c>
      <c r="R40" s="9">
        <f>IF(H40="","",INDEX(Metodologia!$D$6:$H$6,1,H40))</f>
        <v/>
      </c>
      <c r="S40" s="9">
        <f>IF(I40="","",INDEX(Metodologia!$D$7:$H$7,1,I40))</f>
        <v/>
      </c>
      <c r="T40" s="9">
        <f>IF(J40="","",INDEX(Metodologia!$D$8:$H$8,1,J40))</f>
        <v/>
      </c>
      <c r="U40" s="9">
        <f>IF(K40="","",INDEX(Metodologia!$D$9:$H$9,1,K40))</f>
        <v/>
      </c>
      <c r="V40" s="9">
        <f>IF(L40="","",INDEX(Metodologia!$D$10:$H$10,1,L40))</f>
        <v/>
      </c>
      <c r="W40" s="9">
        <f>IF(M40="","",INDEX(Metodologia!$D$11:$H$11,1,M40))</f>
        <v/>
      </c>
      <c r="X40" s="9">
        <f>IF(N40="","",INDEX(Metodologia!$D$12:$H$12,1,N40))</f>
        <v/>
      </c>
      <c r="Y40" s="9">
        <f>IF(O40="","",INDEX(Metodologia!$D$13:$H$13,1,O40))</f>
        <v/>
      </c>
      <c r="Z40" s="9">
        <f>IF(P40="","",INDEX(Metodologia!$D$14:$H$14,1,P40))</f>
        <v/>
      </c>
      <c r="AA40" s="10">
        <f>IF(COUNTA(G40:P40)=0,"",SUM(Q40:Z40))</f>
        <v/>
      </c>
      <c r="AB40" s="11" t="inlineStr">
        <is>
          <t>A definir</t>
        </is>
      </c>
      <c r="AC40" s="12" t="n"/>
    </row>
    <row r="41">
      <c r="A41" s="13" t="inlineStr">
        <is>
          <t>J036</t>
        </is>
      </c>
      <c r="B41" s="13" t="inlineStr">
        <is>
          <t>Financeiro</t>
        </is>
      </c>
      <c r="C41" s="13" t="inlineStr">
        <is>
          <t>Finanças</t>
        </is>
      </c>
      <c r="D41" s="13" t="inlineStr">
        <is>
          <t>Gerente Financeiro</t>
        </is>
      </c>
      <c r="E41" s="13" t="inlineStr">
        <is>
          <t>Gerência</t>
        </is>
      </c>
      <c r="F41" s="13" t="n">
        <v>2</v>
      </c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9">
        <f>IF(G41="","",INDEX(Metodologia!$D$5:$H$5,1,G41))</f>
        <v/>
      </c>
      <c r="R41" s="9">
        <f>IF(H41="","",INDEX(Metodologia!$D$6:$H$6,1,H41))</f>
        <v/>
      </c>
      <c r="S41" s="9">
        <f>IF(I41="","",INDEX(Metodologia!$D$7:$H$7,1,I41))</f>
        <v/>
      </c>
      <c r="T41" s="9">
        <f>IF(J41="","",INDEX(Metodologia!$D$8:$H$8,1,J41))</f>
        <v/>
      </c>
      <c r="U41" s="9">
        <f>IF(K41="","",INDEX(Metodologia!$D$9:$H$9,1,K41))</f>
        <v/>
      </c>
      <c r="V41" s="9">
        <f>IF(L41="","",INDEX(Metodologia!$D$10:$H$10,1,L41))</f>
        <v/>
      </c>
      <c r="W41" s="9">
        <f>IF(M41="","",INDEX(Metodologia!$D$11:$H$11,1,M41))</f>
        <v/>
      </c>
      <c r="X41" s="9">
        <f>IF(N41="","",INDEX(Metodologia!$D$12:$H$12,1,N41))</f>
        <v/>
      </c>
      <c r="Y41" s="9">
        <f>IF(O41="","",INDEX(Metodologia!$D$13:$H$13,1,O41))</f>
        <v/>
      </c>
      <c r="Z41" s="9">
        <f>IF(P41="","",INDEX(Metodologia!$D$14:$H$14,1,P41))</f>
        <v/>
      </c>
      <c r="AA41" s="10">
        <f>IF(COUNTA(G41:P41)=0,"",SUM(Q41:Z41))</f>
        <v/>
      </c>
      <c r="AB41" s="11" t="inlineStr">
        <is>
          <t>A definir</t>
        </is>
      </c>
      <c r="AC41" s="12" t="n"/>
    </row>
    <row r="42">
      <c r="A42" s="7" t="inlineStr">
        <is>
          <t>J037</t>
        </is>
      </c>
      <c r="B42" s="7" t="inlineStr">
        <is>
          <t>Gente &amp; Gestão</t>
        </is>
      </c>
      <c r="C42" s="7" t="inlineStr">
        <is>
          <t>Pessoas &amp; Organização</t>
        </is>
      </c>
      <c r="D42" s="7" t="inlineStr">
        <is>
          <t>Assistente de Gente &amp; Gestão</t>
        </is>
      </c>
      <c r="E42" s="7" t="inlineStr">
        <is>
          <t>Assistente</t>
        </is>
      </c>
      <c r="F42" s="7" t="n">
        <v>3</v>
      </c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9">
        <f>IF(G42="","",INDEX(Metodologia!$D$5:$H$5,1,G42))</f>
        <v/>
      </c>
      <c r="R42" s="9">
        <f>IF(H42="","",INDEX(Metodologia!$D$6:$H$6,1,H42))</f>
        <v/>
      </c>
      <c r="S42" s="9">
        <f>IF(I42="","",INDEX(Metodologia!$D$7:$H$7,1,I42))</f>
        <v/>
      </c>
      <c r="T42" s="9">
        <f>IF(J42="","",INDEX(Metodologia!$D$8:$H$8,1,J42))</f>
        <v/>
      </c>
      <c r="U42" s="9">
        <f>IF(K42="","",INDEX(Metodologia!$D$9:$H$9,1,K42))</f>
        <v/>
      </c>
      <c r="V42" s="9">
        <f>IF(L42="","",INDEX(Metodologia!$D$10:$H$10,1,L42))</f>
        <v/>
      </c>
      <c r="W42" s="9">
        <f>IF(M42="","",INDEX(Metodologia!$D$11:$H$11,1,M42))</f>
        <v/>
      </c>
      <c r="X42" s="9">
        <f>IF(N42="","",INDEX(Metodologia!$D$12:$H$12,1,N42))</f>
        <v/>
      </c>
      <c r="Y42" s="9">
        <f>IF(O42="","",INDEX(Metodologia!$D$13:$H$13,1,O42))</f>
        <v/>
      </c>
      <c r="Z42" s="9">
        <f>IF(P42="","",INDEX(Metodologia!$D$14:$H$14,1,P42))</f>
        <v/>
      </c>
      <c r="AA42" s="10">
        <f>IF(COUNTA(G42:P42)=0,"",SUM(Q42:Z42))</f>
        <v/>
      </c>
      <c r="AB42" s="11" t="inlineStr">
        <is>
          <t>A definir</t>
        </is>
      </c>
      <c r="AC42" s="12" t="n"/>
    </row>
    <row r="43">
      <c r="A43" s="13" t="inlineStr">
        <is>
          <t>J038</t>
        </is>
      </c>
      <c r="B43" s="13" t="inlineStr">
        <is>
          <t>Gente &amp; Gestão</t>
        </is>
      </c>
      <c r="C43" s="13" t="inlineStr">
        <is>
          <t>Pessoas &amp; Organização</t>
        </is>
      </c>
      <c r="D43" s="13" t="inlineStr">
        <is>
          <t>Analista de Gente &amp; Gestão I</t>
        </is>
      </c>
      <c r="E43" s="13" t="inlineStr">
        <is>
          <t>Analista I</t>
        </is>
      </c>
      <c r="F43" s="13" t="n">
        <v>4</v>
      </c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9">
        <f>IF(G43="","",INDEX(Metodologia!$D$5:$H$5,1,G43))</f>
        <v/>
      </c>
      <c r="R43" s="9">
        <f>IF(H43="","",INDEX(Metodologia!$D$6:$H$6,1,H43))</f>
        <v/>
      </c>
      <c r="S43" s="9">
        <f>IF(I43="","",INDEX(Metodologia!$D$7:$H$7,1,I43))</f>
        <v/>
      </c>
      <c r="T43" s="9">
        <f>IF(J43="","",INDEX(Metodologia!$D$8:$H$8,1,J43))</f>
        <v/>
      </c>
      <c r="U43" s="9">
        <f>IF(K43="","",INDEX(Metodologia!$D$9:$H$9,1,K43))</f>
        <v/>
      </c>
      <c r="V43" s="9">
        <f>IF(L43="","",INDEX(Metodologia!$D$10:$H$10,1,L43))</f>
        <v/>
      </c>
      <c r="W43" s="9">
        <f>IF(M43="","",INDEX(Metodologia!$D$11:$H$11,1,M43))</f>
        <v/>
      </c>
      <c r="X43" s="9">
        <f>IF(N43="","",INDEX(Metodologia!$D$12:$H$12,1,N43))</f>
        <v/>
      </c>
      <c r="Y43" s="9">
        <f>IF(O43="","",INDEX(Metodologia!$D$13:$H$13,1,O43))</f>
        <v/>
      </c>
      <c r="Z43" s="9">
        <f>IF(P43="","",INDEX(Metodologia!$D$14:$H$14,1,P43))</f>
        <v/>
      </c>
      <c r="AA43" s="10">
        <f>IF(COUNTA(G43:P43)=0,"",SUM(Q43:Z43))</f>
        <v/>
      </c>
      <c r="AB43" s="11" t="inlineStr">
        <is>
          <t>A definir</t>
        </is>
      </c>
      <c r="AC43" s="12" t="n"/>
    </row>
    <row r="44">
      <c r="A44" s="7" t="inlineStr">
        <is>
          <t>J039</t>
        </is>
      </c>
      <c r="B44" s="7" t="inlineStr">
        <is>
          <t>Gente &amp; Gestão</t>
        </is>
      </c>
      <c r="C44" s="7" t="inlineStr">
        <is>
          <t>Pessoas &amp; Organização</t>
        </is>
      </c>
      <c r="D44" s="7" t="inlineStr">
        <is>
          <t>Analista de Gente &amp; Gestão II</t>
        </is>
      </c>
      <c r="E44" s="7" t="inlineStr">
        <is>
          <t>Analista II</t>
        </is>
      </c>
      <c r="F44" s="7" t="n">
        <v>3</v>
      </c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9">
        <f>IF(G44="","",INDEX(Metodologia!$D$5:$H$5,1,G44))</f>
        <v/>
      </c>
      <c r="R44" s="9">
        <f>IF(H44="","",INDEX(Metodologia!$D$6:$H$6,1,H44))</f>
        <v/>
      </c>
      <c r="S44" s="9">
        <f>IF(I44="","",INDEX(Metodologia!$D$7:$H$7,1,I44))</f>
        <v/>
      </c>
      <c r="T44" s="9">
        <f>IF(J44="","",INDEX(Metodologia!$D$8:$H$8,1,J44))</f>
        <v/>
      </c>
      <c r="U44" s="9">
        <f>IF(K44="","",INDEX(Metodologia!$D$9:$H$9,1,K44))</f>
        <v/>
      </c>
      <c r="V44" s="9">
        <f>IF(L44="","",INDEX(Metodologia!$D$10:$H$10,1,L44))</f>
        <v/>
      </c>
      <c r="W44" s="9">
        <f>IF(M44="","",INDEX(Metodologia!$D$11:$H$11,1,M44))</f>
        <v/>
      </c>
      <c r="X44" s="9">
        <f>IF(N44="","",INDEX(Metodologia!$D$12:$H$12,1,N44))</f>
        <v/>
      </c>
      <c r="Y44" s="9">
        <f>IF(O44="","",INDEX(Metodologia!$D$13:$H$13,1,O44))</f>
        <v/>
      </c>
      <c r="Z44" s="9">
        <f>IF(P44="","",INDEX(Metodologia!$D$14:$H$14,1,P44))</f>
        <v/>
      </c>
      <c r="AA44" s="10">
        <f>IF(COUNTA(G44:P44)=0,"",SUM(Q44:Z44))</f>
        <v/>
      </c>
      <c r="AB44" s="11" t="inlineStr">
        <is>
          <t>A definir</t>
        </is>
      </c>
      <c r="AC44" s="12" t="n"/>
    </row>
    <row r="45">
      <c r="A45" s="13" t="inlineStr">
        <is>
          <t>J040</t>
        </is>
      </c>
      <c r="B45" s="13" t="inlineStr">
        <is>
          <t>Gente &amp; Gestão</t>
        </is>
      </c>
      <c r="C45" s="13" t="inlineStr">
        <is>
          <t>Pessoas &amp; Organização</t>
        </is>
      </c>
      <c r="D45" s="13" t="inlineStr">
        <is>
          <t>Analista de Gente &amp; Gestão III</t>
        </is>
      </c>
      <c r="E45" s="13" t="inlineStr">
        <is>
          <t>Analista III</t>
        </is>
      </c>
      <c r="F45" s="13" t="n">
        <v>3</v>
      </c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9">
        <f>IF(G45="","",INDEX(Metodologia!$D$5:$H$5,1,G45))</f>
        <v/>
      </c>
      <c r="R45" s="9">
        <f>IF(H45="","",INDEX(Metodologia!$D$6:$H$6,1,H45))</f>
        <v/>
      </c>
      <c r="S45" s="9">
        <f>IF(I45="","",INDEX(Metodologia!$D$7:$H$7,1,I45))</f>
        <v/>
      </c>
      <c r="T45" s="9">
        <f>IF(J45="","",INDEX(Metodologia!$D$8:$H$8,1,J45))</f>
        <v/>
      </c>
      <c r="U45" s="9">
        <f>IF(K45="","",INDEX(Metodologia!$D$9:$H$9,1,K45))</f>
        <v/>
      </c>
      <c r="V45" s="9">
        <f>IF(L45="","",INDEX(Metodologia!$D$10:$H$10,1,L45))</f>
        <v/>
      </c>
      <c r="W45" s="9">
        <f>IF(M45="","",INDEX(Metodologia!$D$11:$H$11,1,M45))</f>
        <v/>
      </c>
      <c r="X45" s="9">
        <f>IF(N45="","",INDEX(Metodologia!$D$12:$H$12,1,N45))</f>
        <v/>
      </c>
      <c r="Y45" s="9">
        <f>IF(O45="","",INDEX(Metodologia!$D$13:$H$13,1,O45))</f>
        <v/>
      </c>
      <c r="Z45" s="9">
        <f>IF(P45="","",INDEX(Metodologia!$D$14:$H$14,1,P45))</f>
        <v/>
      </c>
      <c r="AA45" s="10">
        <f>IF(COUNTA(G45:P45)=0,"",SUM(Q45:Z45))</f>
        <v/>
      </c>
      <c r="AB45" s="11" t="inlineStr">
        <is>
          <t>A definir</t>
        </is>
      </c>
      <c r="AC45" s="12" t="n"/>
    </row>
    <row r="46">
      <c r="A46" s="7" t="inlineStr">
        <is>
          <t>J041</t>
        </is>
      </c>
      <c r="B46" s="7" t="inlineStr">
        <is>
          <t>Gente &amp; Gestão</t>
        </is>
      </c>
      <c r="C46" s="7" t="inlineStr">
        <is>
          <t>Pessoas &amp; Organização</t>
        </is>
      </c>
      <c r="D46" s="7" t="inlineStr">
        <is>
          <t>Coordenador de Gente &amp; Gestão</t>
        </is>
      </c>
      <c r="E46" s="7" t="inlineStr">
        <is>
          <t>Coordenação</t>
        </is>
      </c>
      <c r="F46" s="7" t="n">
        <v>3</v>
      </c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9">
        <f>IF(G46="","",INDEX(Metodologia!$D$5:$H$5,1,G46))</f>
        <v/>
      </c>
      <c r="R46" s="9">
        <f>IF(H46="","",INDEX(Metodologia!$D$6:$H$6,1,H46))</f>
        <v/>
      </c>
      <c r="S46" s="9">
        <f>IF(I46="","",INDEX(Metodologia!$D$7:$H$7,1,I46))</f>
        <v/>
      </c>
      <c r="T46" s="9">
        <f>IF(J46="","",INDEX(Metodologia!$D$8:$H$8,1,J46))</f>
        <v/>
      </c>
      <c r="U46" s="9">
        <f>IF(K46="","",INDEX(Metodologia!$D$9:$H$9,1,K46))</f>
        <v/>
      </c>
      <c r="V46" s="9">
        <f>IF(L46="","",INDEX(Metodologia!$D$10:$H$10,1,L46))</f>
        <v/>
      </c>
      <c r="W46" s="9">
        <f>IF(M46="","",INDEX(Metodologia!$D$11:$H$11,1,M46))</f>
        <v/>
      </c>
      <c r="X46" s="9">
        <f>IF(N46="","",INDEX(Metodologia!$D$12:$H$12,1,N46))</f>
        <v/>
      </c>
      <c r="Y46" s="9">
        <f>IF(O46="","",INDEX(Metodologia!$D$13:$H$13,1,O46))</f>
        <v/>
      </c>
      <c r="Z46" s="9">
        <f>IF(P46="","",INDEX(Metodologia!$D$14:$H$14,1,P46))</f>
        <v/>
      </c>
      <c r="AA46" s="10">
        <f>IF(COUNTA(G46:P46)=0,"",SUM(Q46:Z46))</f>
        <v/>
      </c>
      <c r="AB46" s="11" t="inlineStr">
        <is>
          <t>A definir</t>
        </is>
      </c>
      <c r="AC46" s="12" t="n"/>
    </row>
    <row r="47">
      <c r="A47" s="13" t="inlineStr">
        <is>
          <t>J042</t>
        </is>
      </c>
      <c r="B47" s="13" t="inlineStr">
        <is>
          <t>Gente &amp; Gestão</t>
        </is>
      </c>
      <c r="C47" s="13" t="inlineStr">
        <is>
          <t>Pessoas &amp; Organização</t>
        </is>
      </c>
      <c r="D47" s="13" t="inlineStr">
        <is>
          <t>Gerente de Gente &amp; Gestão</t>
        </is>
      </c>
      <c r="E47" s="13" t="inlineStr">
        <is>
          <t>Gerência</t>
        </is>
      </c>
      <c r="F47" s="13" t="n">
        <v>2</v>
      </c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9">
        <f>IF(G47="","",INDEX(Metodologia!$D$5:$H$5,1,G47))</f>
        <v/>
      </c>
      <c r="R47" s="9">
        <f>IF(H47="","",INDEX(Metodologia!$D$6:$H$6,1,H47))</f>
        <v/>
      </c>
      <c r="S47" s="9">
        <f>IF(I47="","",INDEX(Metodologia!$D$7:$H$7,1,I47))</f>
        <v/>
      </c>
      <c r="T47" s="9">
        <f>IF(J47="","",INDEX(Metodologia!$D$8:$H$8,1,J47))</f>
        <v/>
      </c>
      <c r="U47" s="9">
        <f>IF(K47="","",INDEX(Metodologia!$D$9:$H$9,1,K47))</f>
        <v/>
      </c>
      <c r="V47" s="9">
        <f>IF(L47="","",INDEX(Metodologia!$D$10:$H$10,1,L47))</f>
        <v/>
      </c>
      <c r="W47" s="9">
        <f>IF(M47="","",INDEX(Metodologia!$D$11:$H$11,1,M47))</f>
        <v/>
      </c>
      <c r="X47" s="9">
        <f>IF(N47="","",INDEX(Metodologia!$D$12:$H$12,1,N47))</f>
        <v/>
      </c>
      <c r="Y47" s="9">
        <f>IF(O47="","",INDEX(Metodologia!$D$13:$H$13,1,O47))</f>
        <v/>
      </c>
      <c r="Z47" s="9">
        <f>IF(P47="","",INDEX(Metodologia!$D$14:$H$14,1,P47))</f>
        <v/>
      </c>
      <c r="AA47" s="10">
        <f>IF(COUNTA(G47:P47)=0,"",SUM(Q47:Z47))</f>
        <v/>
      </c>
      <c r="AB47" s="11" t="inlineStr">
        <is>
          <t>A definir</t>
        </is>
      </c>
      <c r="AC47" s="12" t="n"/>
    </row>
    <row r="48">
      <c r="A48" s="7" t="inlineStr">
        <is>
          <t>J043</t>
        </is>
      </c>
      <c r="B48" s="7" t="inlineStr">
        <is>
          <t>Tecnologia</t>
        </is>
      </c>
      <c r="C48" s="7" t="inlineStr">
        <is>
          <t>Tecnologia &amp; Dados</t>
        </is>
      </c>
      <c r="D48" s="7" t="inlineStr">
        <is>
          <t>Técnico de Suporte</t>
        </is>
      </c>
      <c r="E48" s="7" t="inlineStr">
        <is>
          <t>Técnico</t>
        </is>
      </c>
      <c r="F48" s="7" t="n">
        <v>4</v>
      </c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9">
        <f>IF(G48="","",INDEX(Metodologia!$D$5:$H$5,1,G48))</f>
        <v/>
      </c>
      <c r="R48" s="9">
        <f>IF(H48="","",INDEX(Metodologia!$D$6:$H$6,1,H48))</f>
        <v/>
      </c>
      <c r="S48" s="9">
        <f>IF(I48="","",INDEX(Metodologia!$D$7:$H$7,1,I48))</f>
        <v/>
      </c>
      <c r="T48" s="9">
        <f>IF(J48="","",INDEX(Metodologia!$D$8:$H$8,1,J48))</f>
        <v/>
      </c>
      <c r="U48" s="9">
        <f>IF(K48="","",INDEX(Metodologia!$D$9:$H$9,1,K48))</f>
        <v/>
      </c>
      <c r="V48" s="9">
        <f>IF(L48="","",INDEX(Metodologia!$D$10:$H$10,1,L48))</f>
        <v/>
      </c>
      <c r="W48" s="9">
        <f>IF(M48="","",INDEX(Metodologia!$D$11:$H$11,1,M48))</f>
        <v/>
      </c>
      <c r="X48" s="9">
        <f>IF(N48="","",INDEX(Metodologia!$D$12:$H$12,1,N48))</f>
        <v/>
      </c>
      <c r="Y48" s="9">
        <f>IF(O48="","",INDEX(Metodologia!$D$13:$H$13,1,O48))</f>
        <v/>
      </c>
      <c r="Z48" s="9">
        <f>IF(P48="","",INDEX(Metodologia!$D$14:$H$14,1,P48))</f>
        <v/>
      </c>
      <c r="AA48" s="10">
        <f>IF(COUNTA(G48:P48)=0,"",SUM(Q48:Z48))</f>
        <v/>
      </c>
      <c r="AB48" s="11" t="inlineStr">
        <is>
          <t>A definir</t>
        </is>
      </c>
      <c r="AC48" s="12" t="n"/>
    </row>
    <row r="49">
      <c r="A49" s="13" t="inlineStr">
        <is>
          <t>J044</t>
        </is>
      </c>
      <c r="B49" s="13" t="inlineStr">
        <is>
          <t>Tecnologia</t>
        </is>
      </c>
      <c r="C49" s="13" t="inlineStr">
        <is>
          <t>Tecnologia &amp; Dados</t>
        </is>
      </c>
      <c r="D49" s="13" t="inlineStr">
        <is>
          <t>Analista de Sistemas I</t>
        </is>
      </c>
      <c r="E49" s="13" t="inlineStr">
        <is>
          <t>Analista I</t>
        </is>
      </c>
      <c r="F49" s="13" t="n">
        <v>4</v>
      </c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9">
        <f>IF(G49="","",INDEX(Metodologia!$D$5:$H$5,1,G49))</f>
        <v/>
      </c>
      <c r="R49" s="9">
        <f>IF(H49="","",INDEX(Metodologia!$D$6:$H$6,1,H49))</f>
        <v/>
      </c>
      <c r="S49" s="9">
        <f>IF(I49="","",INDEX(Metodologia!$D$7:$H$7,1,I49))</f>
        <v/>
      </c>
      <c r="T49" s="9">
        <f>IF(J49="","",INDEX(Metodologia!$D$8:$H$8,1,J49))</f>
        <v/>
      </c>
      <c r="U49" s="9">
        <f>IF(K49="","",INDEX(Metodologia!$D$9:$H$9,1,K49))</f>
        <v/>
      </c>
      <c r="V49" s="9">
        <f>IF(L49="","",INDEX(Metodologia!$D$10:$H$10,1,L49))</f>
        <v/>
      </c>
      <c r="W49" s="9">
        <f>IF(M49="","",INDEX(Metodologia!$D$11:$H$11,1,M49))</f>
        <v/>
      </c>
      <c r="X49" s="9">
        <f>IF(N49="","",INDEX(Metodologia!$D$12:$H$12,1,N49))</f>
        <v/>
      </c>
      <c r="Y49" s="9">
        <f>IF(O49="","",INDEX(Metodologia!$D$13:$H$13,1,O49))</f>
        <v/>
      </c>
      <c r="Z49" s="9">
        <f>IF(P49="","",INDEX(Metodologia!$D$14:$H$14,1,P49))</f>
        <v/>
      </c>
      <c r="AA49" s="10">
        <f>IF(COUNTA(G49:P49)=0,"",SUM(Q49:Z49))</f>
        <v/>
      </c>
      <c r="AB49" s="11" t="inlineStr">
        <is>
          <t>A definir</t>
        </is>
      </c>
      <c r="AC49" s="12" t="n"/>
    </row>
    <row r="50">
      <c r="A50" s="7" t="inlineStr">
        <is>
          <t>J045</t>
        </is>
      </c>
      <c r="B50" s="7" t="inlineStr">
        <is>
          <t>Tecnologia</t>
        </is>
      </c>
      <c r="C50" s="7" t="inlineStr">
        <is>
          <t>Tecnologia &amp; Dados</t>
        </is>
      </c>
      <c r="D50" s="7" t="inlineStr">
        <is>
          <t>Analista de Sistemas II</t>
        </is>
      </c>
      <c r="E50" s="7" t="inlineStr">
        <is>
          <t>Analista II</t>
        </is>
      </c>
      <c r="F50" s="7" t="n">
        <v>3</v>
      </c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9">
        <f>IF(G50="","",INDEX(Metodologia!$D$5:$H$5,1,G50))</f>
        <v/>
      </c>
      <c r="R50" s="9">
        <f>IF(H50="","",INDEX(Metodologia!$D$6:$H$6,1,H50))</f>
        <v/>
      </c>
      <c r="S50" s="9">
        <f>IF(I50="","",INDEX(Metodologia!$D$7:$H$7,1,I50))</f>
        <v/>
      </c>
      <c r="T50" s="9">
        <f>IF(J50="","",INDEX(Metodologia!$D$8:$H$8,1,J50))</f>
        <v/>
      </c>
      <c r="U50" s="9">
        <f>IF(K50="","",INDEX(Metodologia!$D$9:$H$9,1,K50))</f>
        <v/>
      </c>
      <c r="V50" s="9">
        <f>IF(L50="","",INDEX(Metodologia!$D$10:$H$10,1,L50))</f>
        <v/>
      </c>
      <c r="W50" s="9">
        <f>IF(M50="","",INDEX(Metodologia!$D$11:$H$11,1,M50))</f>
        <v/>
      </c>
      <c r="X50" s="9">
        <f>IF(N50="","",INDEX(Metodologia!$D$12:$H$12,1,N50))</f>
        <v/>
      </c>
      <c r="Y50" s="9">
        <f>IF(O50="","",INDEX(Metodologia!$D$13:$H$13,1,O50))</f>
        <v/>
      </c>
      <c r="Z50" s="9">
        <f>IF(P50="","",INDEX(Metodologia!$D$14:$H$14,1,P50))</f>
        <v/>
      </c>
      <c r="AA50" s="10">
        <f>IF(COUNTA(G50:P50)=0,"",SUM(Q50:Z50))</f>
        <v/>
      </c>
      <c r="AB50" s="11" t="inlineStr">
        <is>
          <t>A definir</t>
        </is>
      </c>
      <c r="AC50" s="12" t="n"/>
    </row>
    <row r="51">
      <c r="A51" s="13" t="inlineStr">
        <is>
          <t>J046</t>
        </is>
      </c>
      <c r="B51" s="13" t="inlineStr">
        <is>
          <t>Tecnologia</t>
        </is>
      </c>
      <c r="C51" s="13" t="inlineStr">
        <is>
          <t>Tecnologia &amp; Dados</t>
        </is>
      </c>
      <c r="D51" s="13" t="inlineStr">
        <is>
          <t>Analista de Dados</t>
        </is>
      </c>
      <c r="E51" s="13" t="inlineStr">
        <is>
          <t>Analista</t>
        </is>
      </c>
      <c r="F51" s="13" t="n">
        <v>2</v>
      </c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9">
        <f>IF(G51="","",INDEX(Metodologia!$D$5:$H$5,1,G51))</f>
        <v/>
      </c>
      <c r="R51" s="9">
        <f>IF(H51="","",INDEX(Metodologia!$D$6:$H$6,1,H51))</f>
        <v/>
      </c>
      <c r="S51" s="9">
        <f>IF(I51="","",INDEX(Metodologia!$D$7:$H$7,1,I51))</f>
        <v/>
      </c>
      <c r="T51" s="9">
        <f>IF(J51="","",INDEX(Metodologia!$D$8:$H$8,1,J51))</f>
        <v/>
      </c>
      <c r="U51" s="9">
        <f>IF(K51="","",INDEX(Metodologia!$D$9:$H$9,1,K51))</f>
        <v/>
      </c>
      <c r="V51" s="9">
        <f>IF(L51="","",INDEX(Metodologia!$D$10:$H$10,1,L51))</f>
        <v/>
      </c>
      <c r="W51" s="9">
        <f>IF(M51="","",INDEX(Metodologia!$D$11:$H$11,1,M51))</f>
        <v/>
      </c>
      <c r="X51" s="9">
        <f>IF(N51="","",INDEX(Metodologia!$D$12:$H$12,1,N51))</f>
        <v/>
      </c>
      <c r="Y51" s="9">
        <f>IF(O51="","",INDEX(Metodologia!$D$13:$H$13,1,O51))</f>
        <v/>
      </c>
      <c r="Z51" s="9">
        <f>IF(P51="","",INDEX(Metodologia!$D$14:$H$14,1,P51))</f>
        <v/>
      </c>
      <c r="AA51" s="10">
        <f>IF(COUNTA(G51:P51)=0,"",SUM(Q51:Z51))</f>
        <v/>
      </c>
      <c r="AB51" s="11" t="inlineStr">
        <is>
          <t>A definir</t>
        </is>
      </c>
      <c r="AC51" s="12" t="n"/>
    </row>
    <row r="52">
      <c r="A52" s="7" t="inlineStr">
        <is>
          <t>J047</t>
        </is>
      </c>
      <c r="B52" s="7" t="inlineStr">
        <is>
          <t>Tecnologia</t>
        </is>
      </c>
      <c r="C52" s="7" t="inlineStr">
        <is>
          <t>Tecnologia &amp; Dados</t>
        </is>
      </c>
      <c r="D52" s="7" t="inlineStr">
        <is>
          <t>Coordenador de Tecnologia</t>
        </is>
      </c>
      <c r="E52" s="7" t="inlineStr">
        <is>
          <t>Coordenação</t>
        </is>
      </c>
      <c r="F52" s="7" t="n">
        <v>2</v>
      </c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9">
        <f>IF(G52="","",INDEX(Metodologia!$D$5:$H$5,1,G52))</f>
        <v/>
      </c>
      <c r="R52" s="9">
        <f>IF(H52="","",INDEX(Metodologia!$D$6:$H$6,1,H52))</f>
        <v/>
      </c>
      <c r="S52" s="9">
        <f>IF(I52="","",INDEX(Metodologia!$D$7:$H$7,1,I52))</f>
        <v/>
      </c>
      <c r="T52" s="9">
        <f>IF(J52="","",INDEX(Metodologia!$D$8:$H$8,1,J52))</f>
        <v/>
      </c>
      <c r="U52" s="9">
        <f>IF(K52="","",INDEX(Metodologia!$D$9:$H$9,1,K52))</f>
        <v/>
      </c>
      <c r="V52" s="9">
        <f>IF(L52="","",INDEX(Metodologia!$D$10:$H$10,1,L52))</f>
        <v/>
      </c>
      <c r="W52" s="9">
        <f>IF(M52="","",INDEX(Metodologia!$D$11:$H$11,1,M52))</f>
        <v/>
      </c>
      <c r="X52" s="9">
        <f>IF(N52="","",INDEX(Metodologia!$D$12:$H$12,1,N52))</f>
        <v/>
      </c>
      <c r="Y52" s="9">
        <f>IF(O52="","",INDEX(Metodologia!$D$13:$H$13,1,O52))</f>
        <v/>
      </c>
      <c r="Z52" s="9">
        <f>IF(P52="","",INDEX(Metodologia!$D$14:$H$14,1,P52))</f>
        <v/>
      </c>
      <c r="AA52" s="10">
        <f>IF(COUNTA(G52:P52)=0,"",SUM(Q52:Z52))</f>
        <v/>
      </c>
      <c r="AB52" s="11" t="inlineStr">
        <is>
          <t>A definir</t>
        </is>
      </c>
      <c r="AC52" s="12" t="n"/>
    </row>
    <row r="53">
      <c r="A53" s="13" t="inlineStr">
        <is>
          <t>J048</t>
        </is>
      </c>
      <c r="B53" s="13" t="inlineStr">
        <is>
          <t>Tecnologia</t>
        </is>
      </c>
      <c r="C53" s="13" t="inlineStr">
        <is>
          <t>Tecnologia &amp; Dados</t>
        </is>
      </c>
      <c r="D53" s="13" t="inlineStr">
        <is>
          <t>Gerente de Tecnologia</t>
        </is>
      </c>
      <c r="E53" s="13" t="inlineStr">
        <is>
          <t>Gerência</t>
        </is>
      </c>
      <c r="F53" s="13" t="n">
        <v>2</v>
      </c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9">
        <f>IF(G53="","",INDEX(Metodologia!$D$5:$H$5,1,G53))</f>
        <v/>
      </c>
      <c r="R53" s="9">
        <f>IF(H53="","",INDEX(Metodologia!$D$6:$H$6,1,H53))</f>
        <v/>
      </c>
      <c r="S53" s="9">
        <f>IF(I53="","",INDEX(Metodologia!$D$7:$H$7,1,I53))</f>
        <v/>
      </c>
      <c r="T53" s="9">
        <f>IF(J53="","",INDEX(Metodologia!$D$8:$H$8,1,J53))</f>
        <v/>
      </c>
      <c r="U53" s="9">
        <f>IF(K53="","",INDEX(Metodologia!$D$9:$H$9,1,K53))</f>
        <v/>
      </c>
      <c r="V53" s="9">
        <f>IF(L53="","",INDEX(Metodologia!$D$10:$H$10,1,L53))</f>
        <v/>
      </c>
      <c r="W53" s="9">
        <f>IF(M53="","",INDEX(Metodologia!$D$11:$H$11,1,M53))</f>
        <v/>
      </c>
      <c r="X53" s="9">
        <f>IF(N53="","",INDEX(Metodologia!$D$12:$H$12,1,N53))</f>
        <v/>
      </c>
      <c r="Y53" s="9">
        <f>IF(O53="","",INDEX(Metodologia!$D$13:$H$13,1,O53))</f>
        <v/>
      </c>
      <c r="Z53" s="9">
        <f>IF(P53="","",INDEX(Metodologia!$D$14:$H$14,1,P53))</f>
        <v/>
      </c>
      <c r="AA53" s="10">
        <f>IF(COUNTA(G53:P53)=0,"",SUM(Q53:Z53))</f>
        <v/>
      </c>
      <c r="AB53" s="11" t="inlineStr">
        <is>
          <t>A definir</t>
        </is>
      </c>
      <c r="AC53" s="12" t="n"/>
    </row>
    <row r="54">
      <c r="A54" s="7" t="inlineStr">
        <is>
          <t>J049</t>
        </is>
      </c>
      <c r="B54" s="7" t="inlineStr">
        <is>
          <t>Suprimentos</t>
        </is>
      </c>
      <c r="C54" s="7" t="inlineStr">
        <is>
          <t>Suprimentos</t>
        </is>
      </c>
      <c r="D54" s="7" t="inlineStr">
        <is>
          <t>Assistente de Suprimentos</t>
        </is>
      </c>
      <c r="E54" s="7" t="inlineStr">
        <is>
          <t>Assistente</t>
        </is>
      </c>
      <c r="F54" s="7" t="n">
        <v>3</v>
      </c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9">
        <f>IF(G54="","",INDEX(Metodologia!$D$5:$H$5,1,G54))</f>
        <v/>
      </c>
      <c r="R54" s="9">
        <f>IF(H54="","",INDEX(Metodologia!$D$6:$H$6,1,H54))</f>
        <v/>
      </c>
      <c r="S54" s="9">
        <f>IF(I54="","",INDEX(Metodologia!$D$7:$H$7,1,I54))</f>
        <v/>
      </c>
      <c r="T54" s="9">
        <f>IF(J54="","",INDEX(Metodologia!$D$8:$H$8,1,J54))</f>
        <v/>
      </c>
      <c r="U54" s="9">
        <f>IF(K54="","",INDEX(Metodologia!$D$9:$H$9,1,K54))</f>
        <v/>
      </c>
      <c r="V54" s="9">
        <f>IF(L54="","",INDEX(Metodologia!$D$10:$H$10,1,L54))</f>
        <v/>
      </c>
      <c r="W54" s="9">
        <f>IF(M54="","",INDEX(Metodologia!$D$11:$H$11,1,M54))</f>
        <v/>
      </c>
      <c r="X54" s="9">
        <f>IF(N54="","",INDEX(Metodologia!$D$12:$H$12,1,N54))</f>
        <v/>
      </c>
      <c r="Y54" s="9">
        <f>IF(O54="","",INDEX(Metodologia!$D$13:$H$13,1,O54))</f>
        <v/>
      </c>
      <c r="Z54" s="9">
        <f>IF(P54="","",INDEX(Metodologia!$D$14:$H$14,1,P54))</f>
        <v/>
      </c>
      <c r="AA54" s="10">
        <f>IF(COUNTA(G54:P54)=0,"",SUM(Q54:Z54))</f>
        <v/>
      </c>
      <c r="AB54" s="11" t="inlineStr">
        <is>
          <t>A definir</t>
        </is>
      </c>
      <c r="AC54" s="12" t="n"/>
    </row>
    <row r="55">
      <c r="A55" s="13" t="inlineStr">
        <is>
          <t>J050</t>
        </is>
      </c>
      <c r="B55" s="13" t="inlineStr">
        <is>
          <t>Suprimentos</t>
        </is>
      </c>
      <c r="C55" s="13" t="inlineStr">
        <is>
          <t>Suprimentos</t>
        </is>
      </c>
      <c r="D55" s="13" t="inlineStr">
        <is>
          <t>Comprador I</t>
        </is>
      </c>
      <c r="E55" s="13" t="inlineStr">
        <is>
          <t>Profissional I</t>
        </is>
      </c>
      <c r="F55" s="13" t="n">
        <v>4</v>
      </c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9">
        <f>IF(G55="","",INDEX(Metodologia!$D$5:$H$5,1,G55))</f>
        <v/>
      </c>
      <c r="R55" s="9">
        <f>IF(H55="","",INDEX(Metodologia!$D$6:$H$6,1,H55))</f>
        <v/>
      </c>
      <c r="S55" s="9">
        <f>IF(I55="","",INDEX(Metodologia!$D$7:$H$7,1,I55))</f>
        <v/>
      </c>
      <c r="T55" s="9">
        <f>IF(J55="","",INDEX(Metodologia!$D$8:$H$8,1,J55))</f>
        <v/>
      </c>
      <c r="U55" s="9">
        <f>IF(K55="","",INDEX(Metodologia!$D$9:$H$9,1,K55))</f>
        <v/>
      </c>
      <c r="V55" s="9">
        <f>IF(L55="","",INDEX(Metodologia!$D$10:$H$10,1,L55))</f>
        <v/>
      </c>
      <c r="W55" s="9">
        <f>IF(M55="","",INDEX(Metodologia!$D$11:$H$11,1,M55))</f>
        <v/>
      </c>
      <c r="X55" s="9">
        <f>IF(N55="","",INDEX(Metodologia!$D$12:$H$12,1,N55))</f>
        <v/>
      </c>
      <c r="Y55" s="9">
        <f>IF(O55="","",INDEX(Metodologia!$D$13:$H$13,1,O55))</f>
        <v/>
      </c>
      <c r="Z55" s="9">
        <f>IF(P55="","",INDEX(Metodologia!$D$14:$H$14,1,P55))</f>
        <v/>
      </c>
      <c r="AA55" s="10">
        <f>IF(COUNTA(G55:P55)=0,"",SUM(Q55:Z55))</f>
        <v/>
      </c>
      <c r="AB55" s="11" t="inlineStr">
        <is>
          <t>A definir</t>
        </is>
      </c>
      <c r="AC55" s="12" t="n"/>
    </row>
    <row r="56">
      <c r="A56" s="7" t="inlineStr">
        <is>
          <t>J051</t>
        </is>
      </c>
      <c r="B56" s="7" t="inlineStr">
        <is>
          <t>Suprimentos</t>
        </is>
      </c>
      <c r="C56" s="7" t="inlineStr">
        <is>
          <t>Suprimentos</t>
        </is>
      </c>
      <c r="D56" s="7" t="inlineStr">
        <is>
          <t>Comprador II</t>
        </is>
      </c>
      <c r="E56" s="7" t="inlineStr">
        <is>
          <t>Profissional II</t>
        </is>
      </c>
      <c r="F56" s="7" t="n">
        <v>3</v>
      </c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9">
        <f>IF(G56="","",INDEX(Metodologia!$D$5:$H$5,1,G56))</f>
        <v/>
      </c>
      <c r="R56" s="9">
        <f>IF(H56="","",INDEX(Metodologia!$D$6:$H$6,1,H56))</f>
        <v/>
      </c>
      <c r="S56" s="9">
        <f>IF(I56="","",INDEX(Metodologia!$D$7:$H$7,1,I56))</f>
        <v/>
      </c>
      <c r="T56" s="9">
        <f>IF(J56="","",INDEX(Metodologia!$D$8:$H$8,1,J56))</f>
        <v/>
      </c>
      <c r="U56" s="9">
        <f>IF(K56="","",INDEX(Metodologia!$D$9:$H$9,1,K56))</f>
        <v/>
      </c>
      <c r="V56" s="9">
        <f>IF(L56="","",INDEX(Metodologia!$D$10:$H$10,1,L56))</f>
        <v/>
      </c>
      <c r="W56" s="9">
        <f>IF(M56="","",INDEX(Metodologia!$D$11:$H$11,1,M56))</f>
        <v/>
      </c>
      <c r="X56" s="9">
        <f>IF(N56="","",INDEX(Metodologia!$D$12:$H$12,1,N56))</f>
        <v/>
      </c>
      <c r="Y56" s="9">
        <f>IF(O56="","",INDEX(Metodologia!$D$13:$H$13,1,O56))</f>
        <v/>
      </c>
      <c r="Z56" s="9">
        <f>IF(P56="","",INDEX(Metodologia!$D$14:$H$14,1,P56))</f>
        <v/>
      </c>
      <c r="AA56" s="10">
        <f>IF(COUNTA(G56:P56)=0,"",SUM(Q56:Z56))</f>
        <v/>
      </c>
      <c r="AB56" s="11" t="inlineStr">
        <is>
          <t>A definir</t>
        </is>
      </c>
      <c r="AC56" s="12" t="n"/>
    </row>
    <row r="57">
      <c r="A57" s="13" t="inlineStr">
        <is>
          <t>J052</t>
        </is>
      </c>
      <c r="B57" s="13" t="inlineStr">
        <is>
          <t>Suprimentos</t>
        </is>
      </c>
      <c r="C57" s="13" t="inlineStr">
        <is>
          <t>Suprimentos</t>
        </is>
      </c>
      <c r="D57" s="13" t="inlineStr">
        <is>
          <t>Comprador III</t>
        </is>
      </c>
      <c r="E57" s="13" t="inlineStr">
        <is>
          <t>Profissional III</t>
        </is>
      </c>
      <c r="F57" s="13" t="n">
        <v>2</v>
      </c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9">
        <f>IF(G57="","",INDEX(Metodologia!$D$5:$H$5,1,G57))</f>
        <v/>
      </c>
      <c r="R57" s="9">
        <f>IF(H57="","",INDEX(Metodologia!$D$6:$H$6,1,H57))</f>
        <v/>
      </c>
      <c r="S57" s="9">
        <f>IF(I57="","",INDEX(Metodologia!$D$7:$H$7,1,I57))</f>
        <v/>
      </c>
      <c r="T57" s="9">
        <f>IF(J57="","",INDEX(Metodologia!$D$8:$H$8,1,J57))</f>
        <v/>
      </c>
      <c r="U57" s="9">
        <f>IF(K57="","",INDEX(Metodologia!$D$9:$H$9,1,K57))</f>
        <v/>
      </c>
      <c r="V57" s="9">
        <f>IF(L57="","",INDEX(Metodologia!$D$10:$H$10,1,L57))</f>
        <v/>
      </c>
      <c r="W57" s="9">
        <f>IF(M57="","",INDEX(Metodologia!$D$11:$H$11,1,M57))</f>
        <v/>
      </c>
      <c r="X57" s="9">
        <f>IF(N57="","",INDEX(Metodologia!$D$12:$H$12,1,N57))</f>
        <v/>
      </c>
      <c r="Y57" s="9">
        <f>IF(O57="","",INDEX(Metodologia!$D$13:$H$13,1,O57))</f>
        <v/>
      </c>
      <c r="Z57" s="9">
        <f>IF(P57="","",INDEX(Metodologia!$D$14:$H$14,1,P57))</f>
        <v/>
      </c>
      <c r="AA57" s="10">
        <f>IF(COUNTA(G57:P57)=0,"",SUM(Q57:Z57))</f>
        <v/>
      </c>
      <c r="AB57" s="11" t="inlineStr">
        <is>
          <t>A definir</t>
        </is>
      </c>
      <c r="AC57" s="12" t="n"/>
    </row>
    <row r="58">
      <c r="A58" s="7" t="inlineStr">
        <is>
          <t>J053</t>
        </is>
      </c>
      <c r="B58" s="7" t="inlineStr">
        <is>
          <t>Suprimentos</t>
        </is>
      </c>
      <c r="C58" s="7" t="inlineStr">
        <is>
          <t>Suprimentos</t>
        </is>
      </c>
      <c r="D58" s="7" t="inlineStr">
        <is>
          <t>Coordenador de Suprimentos</t>
        </is>
      </c>
      <c r="E58" s="7" t="inlineStr">
        <is>
          <t>Coordenação</t>
        </is>
      </c>
      <c r="F58" s="7" t="n">
        <v>2</v>
      </c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9">
        <f>IF(G58="","",INDEX(Metodologia!$D$5:$H$5,1,G58))</f>
        <v/>
      </c>
      <c r="R58" s="9">
        <f>IF(H58="","",INDEX(Metodologia!$D$6:$H$6,1,H58))</f>
        <v/>
      </c>
      <c r="S58" s="9">
        <f>IF(I58="","",INDEX(Metodologia!$D$7:$H$7,1,I58))</f>
        <v/>
      </c>
      <c r="T58" s="9">
        <f>IF(J58="","",INDEX(Metodologia!$D$8:$H$8,1,J58))</f>
        <v/>
      </c>
      <c r="U58" s="9">
        <f>IF(K58="","",INDEX(Metodologia!$D$9:$H$9,1,K58))</f>
        <v/>
      </c>
      <c r="V58" s="9">
        <f>IF(L58="","",INDEX(Metodologia!$D$10:$H$10,1,L58))</f>
        <v/>
      </c>
      <c r="W58" s="9">
        <f>IF(M58="","",INDEX(Metodologia!$D$11:$H$11,1,M58))</f>
        <v/>
      </c>
      <c r="X58" s="9">
        <f>IF(N58="","",INDEX(Metodologia!$D$12:$H$12,1,N58))</f>
        <v/>
      </c>
      <c r="Y58" s="9">
        <f>IF(O58="","",INDEX(Metodologia!$D$13:$H$13,1,O58))</f>
        <v/>
      </c>
      <c r="Z58" s="9">
        <f>IF(P58="","",INDEX(Metodologia!$D$14:$H$14,1,P58))</f>
        <v/>
      </c>
      <c r="AA58" s="10">
        <f>IF(COUNTA(G58:P58)=0,"",SUM(Q58:Z58))</f>
        <v/>
      </c>
      <c r="AB58" s="11" t="inlineStr">
        <is>
          <t>A definir</t>
        </is>
      </c>
      <c r="AC58" s="12" t="n"/>
    </row>
    <row r="59">
      <c r="A59" s="13" t="inlineStr">
        <is>
          <t>J054</t>
        </is>
      </c>
      <c r="B59" s="13" t="inlineStr">
        <is>
          <t>Suprimentos</t>
        </is>
      </c>
      <c r="C59" s="13" t="inlineStr">
        <is>
          <t>Suprimentos</t>
        </is>
      </c>
      <c r="D59" s="13" t="inlineStr">
        <is>
          <t>Gerente de Suprimentos</t>
        </is>
      </c>
      <c r="E59" s="13" t="inlineStr">
        <is>
          <t>Gerência</t>
        </is>
      </c>
      <c r="F59" s="13" t="n">
        <v>2</v>
      </c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9">
        <f>IF(G59="","",INDEX(Metodologia!$D$5:$H$5,1,G59))</f>
        <v/>
      </c>
      <c r="R59" s="9">
        <f>IF(H59="","",INDEX(Metodologia!$D$6:$H$6,1,H59))</f>
        <v/>
      </c>
      <c r="S59" s="9">
        <f>IF(I59="","",INDEX(Metodologia!$D$7:$H$7,1,I59))</f>
        <v/>
      </c>
      <c r="T59" s="9">
        <f>IF(J59="","",INDEX(Metodologia!$D$8:$H$8,1,J59))</f>
        <v/>
      </c>
      <c r="U59" s="9">
        <f>IF(K59="","",INDEX(Metodologia!$D$9:$H$9,1,K59))</f>
        <v/>
      </c>
      <c r="V59" s="9">
        <f>IF(L59="","",INDEX(Metodologia!$D$10:$H$10,1,L59))</f>
        <v/>
      </c>
      <c r="W59" s="9">
        <f>IF(M59="","",INDEX(Metodologia!$D$11:$H$11,1,M59))</f>
        <v/>
      </c>
      <c r="X59" s="9">
        <f>IF(N59="","",INDEX(Metodologia!$D$12:$H$12,1,N59))</f>
        <v/>
      </c>
      <c r="Y59" s="9">
        <f>IF(O59="","",INDEX(Metodologia!$D$13:$H$13,1,O59))</f>
        <v/>
      </c>
      <c r="Z59" s="9">
        <f>IF(P59="","",INDEX(Metodologia!$D$14:$H$14,1,P59))</f>
        <v/>
      </c>
      <c r="AA59" s="10">
        <f>IF(COUNTA(G59:P59)=0,"",SUM(Q59:Z59))</f>
        <v/>
      </c>
      <c r="AB59" s="11" t="inlineStr">
        <is>
          <t>A definir</t>
        </is>
      </c>
      <c r="AC59" s="12" t="n"/>
    </row>
    <row r="60">
      <c r="A60" s="7" t="inlineStr">
        <is>
          <t>J055</t>
        </is>
      </c>
      <c r="B60" s="7" t="inlineStr">
        <is>
          <t>Administrativo</t>
        </is>
      </c>
      <c r="C60" s="7" t="inlineStr">
        <is>
          <t>Administração Corporativa</t>
        </is>
      </c>
      <c r="D60" s="7" t="inlineStr">
        <is>
          <t>Auxiliar Administrativo</t>
        </is>
      </c>
      <c r="E60" s="7" t="inlineStr">
        <is>
          <t>Auxiliar</t>
        </is>
      </c>
      <c r="F60" s="7" t="n">
        <v>4</v>
      </c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9">
        <f>IF(G60="","",INDEX(Metodologia!$D$5:$H$5,1,G60))</f>
        <v/>
      </c>
      <c r="R60" s="9">
        <f>IF(H60="","",INDEX(Metodologia!$D$6:$H$6,1,H60))</f>
        <v/>
      </c>
      <c r="S60" s="9">
        <f>IF(I60="","",INDEX(Metodologia!$D$7:$H$7,1,I60))</f>
        <v/>
      </c>
      <c r="T60" s="9">
        <f>IF(J60="","",INDEX(Metodologia!$D$8:$H$8,1,J60))</f>
        <v/>
      </c>
      <c r="U60" s="9">
        <f>IF(K60="","",INDEX(Metodologia!$D$9:$H$9,1,K60))</f>
        <v/>
      </c>
      <c r="V60" s="9">
        <f>IF(L60="","",INDEX(Metodologia!$D$10:$H$10,1,L60))</f>
        <v/>
      </c>
      <c r="W60" s="9">
        <f>IF(M60="","",INDEX(Metodologia!$D$11:$H$11,1,M60))</f>
        <v/>
      </c>
      <c r="X60" s="9">
        <f>IF(N60="","",INDEX(Metodologia!$D$12:$H$12,1,N60))</f>
        <v/>
      </c>
      <c r="Y60" s="9">
        <f>IF(O60="","",INDEX(Metodologia!$D$13:$H$13,1,O60))</f>
        <v/>
      </c>
      <c r="Z60" s="9">
        <f>IF(P60="","",INDEX(Metodologia!$D$14:$H$14,1,P60))</f>
        <v/>
      </c>
      <c r="AA60" s="10">
        <f>IF(COUNTA(G60:P60)=0,"",SUM(Q60:Z60))</f>
        <v/>
      </c>
      <c r="AB60" s="11" t="inlineStr">
        <is>
          <t>A definir</t>
        </is>
      </c>
      <c r="AC60" s="12" t="n"/>
    </row>
    <row r="61">
      <c r="A61" s="13" t="inlineStr">
        <is>
          <t>J056</t>
        </is>
      </c>
      <c r="B61" s="13" t="inlineStr">
        <is>
          <t>Administrativo</t>
        </is>
      </c>
      <c r="C61" s="13" t="inlineStr">
        <is>
          <t>Administração Corporativa</t>
        </is>
      </c>
      <c r="D61" s="13" t="inlineStr">
        <is>
          <t>Assistente Administrativo</t>
        </is>
      </c>
      <c r="E61" s="13" t="inlineStr">
        <is>
          <t>Assistente</t>
        </is>
      </c>
      <c r="F61" s="13" t="n">
        <v>4</v>
      </c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9">
        <f>IF(G61="","",INDEX(Metodologia!$D$5:$H$5,1,G61))</f>
        <v/>
      </c>
      <c r="R61" s="9">
        <f>IF(H61="","",INDEX(Metodologia!$D$6:$H$6,1,H61))</f>
        <v/>
      </c>
      <c r="S61" s="9">
        <f>IF(I61="","",INDEX(Metodologia!$D$7:$H$7,1,I61))</f>
        <v/>
      </c>
      <c r="T61" s="9">
        <f>IF(J61="","",INDEX(Metodologia!$D$8:$H$8,1,J61))</f>
        <v/>
      </c>
      <c r="U61" s="9">
        <f>IF(K61="","",INDEX(Metodologia!$D$9:$H$9,1,K61))</f>
        <v/>
      </c>
      <c r="V61" s="9">
        <f>IF(L61="","",INDEX(Metodologia!$D$10:$H$10,1,L61))</f>
        <v/>
      </c>
      <c r="W61" s="9">
        <f>IF(M61="","",INDEX(Metodologia!$D$11:$H$11,1,M61))</f>
        <v/>
      </c>
      <c r="X61" s="9">
        <f>IF(N61="","",INDEX(Metodologia!$D$12:$H$12,1,N61))</f>
        <v/>
      </c>
      <c r="Y61" s="9">
        <f>IF(O61="","",INDEX(Metodologia!$D$13:$H$13,1,O61))</f>
        <v/>
      </c>
      <c r="Z61" s="9">
        <f>IF(P61="","",INDEX(Metodologia!$D$14:$H$14,1,P61))</f>
        <v/>
      </c>
      <c r="AA61" s="10">
        <f>IF(COUNTA(G61:P61)=0,"",SUM(Q61:Z61))</f>
        <v/>
      </c>
      <c r="AB61" s="11" t="inlineStr">
        <is>
          <t>A definir</t>
        </is>
      </c>
      <c r="AC61" s="12" t="n"/>
    </row>
    <row r="62">
      <c r="A62" s="7" t="inlineStr">
        <is>
          <t>J057</t>
        </is>
      </c>
      <c r="B62" s="7" t="inlineStr">
        <is>
          <t>Administrativo</t>
        </is>
      </c>
      <c r="C62" s="7" t="inlineStr">
        <is>
          <t>Administração Corporativa</t>
        </is>
      </c>
      <c r="D62" s="7" t="inlineStr">
        <is>
          <t>Analista Administrativo I</t>
        </is>
      </c>
      <c r="E62" s="7" t="inlineStr">
        <is>
          <t>Analista I</t>
        </is>
      </c>
      <c r="F62" s="7" t="n">
        <v>3</v>
      </c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9">
        <f>IF(G62="","",INDEX(Metodologia!$D$5:$H$5,1,G62))</f>
        <v/>
      </c>
      <c r="R62" s="9">
        <f>IF(H62="","",INDEX(Metodologia!$D$6:$H$6,1,H62))</f>
        <v/>
      </c>
      <c r="S62" s="9">
        <f>IF(I62="","",INDEX(Metodologia!$D$7:$H$7,1,I62))</f>
        <v/>
      </c>
      <c r="T62" s="9">
        <f>IF(J62="","",INDEX(Metodologia!$D$8:$H$8,1,J62))</f>
        <v/>
      </c>
      <c r="U62" s="9">
        <f>IF(K62="","",INDEX(Metodologia!$D$9:$H$9,1,K62))</f>
        <v/>
      </c>
      <c r="V62" s="9">
        <f>IF(L62="","",INDEX(Metodologia!$D$10:$H$10,1,L62))</f>
        <v/>
      </c>
      <c r="W62" s="9">
        <f>IF(M62="","",INDEX(Metodologia!$D$11:$H$11,1,M62))</f>
        <v/>
      </c>
      <c r="X62" s="9">
        <f>IF(N62="","",INDEX(Metodologia!$D$12:$H$12,1,N62))</f>
        <v/>
      </c>
      <c r="Y62" s="9">
        <f>IF(O62="","",INDEX(Metodologia!$D$13:$H$13,1,O62))</f>
        <v/>
      </c>
      <c r="Z62" s="9">
        <f>IF(P62="","",INDEX(Metodologia!$D$14:$H$14,1,P62))</f>
        <v/>
      </c>
      <c r="AA62" s="10">
        <f>IF(COUNTA(G62:P62)=0,"",SUM(Q62:Z62))</f>
        <v/>
      </c>
      <c r="AB62" s="11" t="inlineStr">
        <is>
          <t>A definir</t>
        </is>
      </c>
      <c r="AC62" s="12" t="n"/>
    </row>
    <row r="63">
      <c r="A63" s="13" t="inlineStr">
        <is>
          <t>J058</t>
        </is>
      </c>
      <c r="B63" s="13" t="inlineStr">
        <is>
          <t>Administrativo</t>
        </is>
      </c>
      <c r="C63" s="13" t="inlineStr">
        <is>
          <t>Administração Corporativa</t>
        </is>
      </c>
      <c r="D63" s="13" t="inlineStr">
        <is>
          <t>Analista Administrativo II</t>
        </is>
      </c>
      <c r="E63" s="13" t="inlineStr">
        <is>
          <t>Analista II</t>
        </is>
      </c>
      <c r="F63" s="13" t="n">
        <v>3</v>
      </c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9">
        <f>IF(G63="","",INDEX(Metodologia!$D$5:$H$5,1,G63))</f>
        <v/>
      </c>
      <c r="R63" s="9">
        <f>IF(H63="","",INDEX(Metodologia!$D$6:$H$6,1,H63))</f>
        <v/>
      </c>
      <c r="S63" s="9">
        <f>IF(I63="","",INDEX(Metodologia!$D$7:$H$7,1,I63))</f>
        <v/>
      </c>
      <c r="T63" s="9">
        <f>IF(J63="","",INDEX(Metodologia!$D$8:$H$8,1,J63))</f>
        <v/>
      </c>
      <c r="U63" s="9">
        <f>IF(K63="","",INDEX(Metodologia!$D$9:$H$9,1,K63))</f>
        <v/>
      </c>
      <c r="V63" s="9">
        <f>IF(L63="","",INDEX(Metodologia!$D$10:$H$10,1,L63))</f>
        <v/>
      </c>
      <c r="W63" s="9">
        <f>IF(M63="","",INDEX(Metodologia!$D$11:$H$11,1,M63))</f>
        <v/>
      </c>
      <c r="X63" s="9">
        <f>IF(N63="","",INDEX(Metodologia!$D$12:$H$12,1,N63))</f>
        <v/>
      </c>
      <c r="Y63" s="9">
        <f>IF(O63="","",INDEX(Metodologia!$D$13:$H$13,1,O63))</f>
        <v/>
      </c>
      <c r="Z63" s="9">
        <f>IF(P63="","",INDEX(Metodologia!$D$14:$H$14,1,P63))</f>
        <v/>
      </c>
      <c r="AA63" s="10">
        <f>IF(COUNTA(G63:P63)=0,"",SUM(Q63:Z63))</f>
        <v/>
      </c>
      <c r="AB63" s="11" t="inlineStr">
        <is>
          <t>A definir</t>
        </is>
      </c>
      <c r="AC63" s="12" t="n"/>
    </row>
    <row r="64">
      <c r="A64" s="7" t="inlineStr">
        <is>
          <t>J059</t>
        </is>
      </c>
      <c r="B64" s="7" t="inlineStr">
        <is>
          <t>Administrativo</t>
        </is>
      </c>
      <c r="C64" s="7" t="inlineStr">
        <is>
          <t>Administração Corporativa</t>
        </is>
      </c>
      <c r="D64" s="7" t="inlineStr">
        <is>
          <t>Coordenador Administrativo</t>
        </is>
      </c>
      <c r="E64" s="7" t="inlineStr">
        <is>
          <t>Coordenação</t>
        </is>
      </c>
      <c r="F64" s="7" t="n">
        <v>2</v>
      </c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9">
        <f>IF(G64="","",INDEX(Metodologia!$D$5:$H$5,1,G64))</f>
        <v/>
      </c>
      <c r="R64" s="9">
        <f>IF(H64="","",INDEX(Metodologia!$D$6:$H$6,1,H64))</f>
        <v/>
      </c>
      <c r="S64" s="9">
        <f>IF(I64="","",INDEX(Metodologia!$D$7:$H$7,1,I64))</f>
        <v/>
      </c>
      <c r="T64" s="9">
        <f>IF(J64="","",INDEX(Metodologia!$D$8:$H$8,1,J64))</f>
        <v/>
      </c>
      <c r="U64" s="9">
        <f>IF(K64="","",INDEX(Metodologia!$D$9:$H$9,1,K64))</f>
        <v/>
      </c>
      <c r="V64" s="9">
        <f>IF(L64="","",INDEX(Metodologia!$D$10:$H$10,1,L64))</f>
        <v/>
      </c>
      <c r="W64" s="9">
        <f>IF(M64="","",INDEX(Metodologia!$D$11:$H$11,1,M64))</f>
        <v/>
      </c>
      <c r="X64" s="9">
        <f>IF(N64="","",INDEX(Metodologia!$D$12:$H$12,1,N64))</f>
        <v/>
      </c>
      <c r="Y64" s="9">
        <f>IF(O64="","",INDEX(Metodologia!$D$13:$H$13,1,O64))</f>
        <v/>
      </c>
      <c r="Z64" s="9">
        <f>IF(P64="","",INDEX(Metodologia!$D$14:$H$14,1,P64))</f>
        <v/>
      </c>
      <c r="AA64" s="10">
        <f>IF(COUNTA(G64:P64)=0,"",SUM(Q64:Z64))</f>
        <v/>
      </c>
      <c r="AB64" s="11" t="inlineStr">
        <is>
          <t>A definir</t>
        </is>
      </c>
      <c r="AC64" s="12" t="n"/>
    </row>
    <row r="65">
      <c r="A65" s="13" t="inlineStr">
        <is>
          <t>J060</t>
        </is>
      </c>
      <c r="B65" s="13" t="inlineStr">
        <is>
          <t>Administrativo</t>
        </is>
      </c>
      <c r="C65" s="13" t="inlineStr">
        <is>
          <t>Administração Corporativa</t>
        </is>
      </c>
      <c r="D65" s="13" t="inlineStr">
        <is>
          <t>Gerente Administrativo</t>
        </is>
      </c>
      <c r="E65" s="13" t="inlineStr">
        <is>
          <t>Gerência</t>
        </is>
      </c>
      <c r="F65" s="13" t="n">
        <v>2</v>
      </c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9">
        <f>IF(G65="","",INDEX(Metodologia!$D$5:$H$5,1,G65))</f>
        <v/>
      </c>
      <c r="R65" s="9">
        <f>IF(H65="","",INDEX(Metodologia!$D$6:$H$6,1,H65))</f>
        <v/>
      </c>
      <c r="S65" s="9">
        <f>IF(I65="","",INDEX(Metodologia!$D$7:$H$7,1,I65))</f>
        <v/>
      </c>
      <c r="T65" s="9">
        <f>IF(J65="","",INDEX(Metodologia!$D$8:$H$8,1,J65))</f>
        <v/>
      </c>
      <c r="U65" s="9">
        <f>IF(K65="","",INDEX(Metodologia!$D$9:$H$9,1,K65))</f>
        <v/>
      </c>
      <c r="V65" s="9">
        <f>IF(L65="","",INDEX(Metodologia!$D$10:$H$10,1,L65))</f>
        <v/>
      </c>
      <c r="W65" s="9">
        <f>IF(M65="","",INDEX(Metodologia!$D$11:$H$11,1,M65))</f>
        <v/>
      </c>
      <c r="X65" s="9">
        <f>IF(N65="","",INDEX(Metodologia!$D$12:$H$12,1,N65))</f>
        <v/>
      </c>
      <c r="Y65" s="9">
        <f>IF(O65="","",INDEX(Metodologia!$D$13:$H$13,1,O65))</f>
        <v/>
      </c>
      <c r="Z65" s="9">
        <f>IF(P65="","",INDEX(Metodologia!$D$14:$H$14,1,P65))</f>
        <v/>
      </c>
      <c r="AA65" s="10">
        <f>IF(COUNTA(G65:P65)=0,"",SUM(Q65:Z65))</f>
        <v/>
      </c>
      <c r="AB65" s="11" t="inlineStr">
        <is>
          <t>A definir</t>
        </is>
      </c>
      <c r="AC65" s="12" t="n"/>
    </row>
  </sheetData>
  <autoFilter ref="A5:AC65"/>
  <mergeCells count="3">
    <mergeCell ref="A3:AC3"/>
    <mergeCell ref="A2:AC2"/>
    <mergeCell ref="A1:AC1"/>
  </mergeCells>
  <conditionalFormatting sqref="AA6:AA65">
    <cfRule type="colorScale" priority="1">
      <colorScale>
        <cfvo type="num" val="200"/>
        <cfvo type="num" val="600"/>
        <cfvo type="num" val="1000"/>
        <color rgb="00F8696B"/>
        <color rgb="00FFEB84"/>
        <color rgb="0063BE7B"/>
      </colorScale>
    </cfRule>
  </conditionalFormatting>
  <dataValidations count="1">
    <dataValidation sqref="G6:P65" showDropDown="0" showInputMessage="0" showErrorMessage="0" allowBlank="1" errorTitle="Grau inválido" error="Informe um grau inteiro de 1 a 5." promptTitle="Avaliação do fator" prompt="Preencha um grau de 1 a 5 conforme a aba Metodologia." type="whole" operator="between">
      <formula1>1</formula1>
      <formula2>5</formula2>
    </dataValidation>
  </dataValidations>
  <pageMargins left="0.25" right="0.25" top="0.5" bottom="0.5" header="0.5" footer="0.5"/>
  <pageSetup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34" customWidth="1" min="4" max="4"/>
    <col width="20" customWidth="1" min="5" max="5"/>
    <col width="8" customWidth="1" min="6" max="6"/>
  </cols>
  <sheetData>
    <row r="1">
      <c r="A1" s="14" t="inlineStr">
        <is>
          <t>ARQUITETURA DE CARGOS | NEXORA SERVIÇOS INTEGRADOS</t>
        </is>
      </c>
    </row>
    <row r="2">
      <c r="A2" s="2" t="inlineStr">
        <is>
          <t>60 cargos | 10 áreas | 300 colaboradores sintéticos</t>
        </is>
      </c>
    </row>
    <row r="4">
      <c r="A4" s="15" t="inlineStr">
        <is>
          <t>ID Cargo</t>
        </is>
      </c>
      <c r="B4" s="15" t="inlineStr">
        <is>
          <t>Área</t>
        </is>
      </c>
      <c r="C4" s="15" t="inlineStr">
        <is>
          <t>Família</t>
        </is>
      </c>
      <c r="D4" s="15" t="inlineStr">
        <is>
          <t>Cargo</t>
        </is>
      </c>
      <c r="E4" s="15" t="inlineStr">
        <is>
          <t>Nível</t>
        </is>
      </c>
      <c r="F4" s="15" t="inlineStr">
        <is>
          <t>HC</t>
        </is>
      </c>
    </row>
    <row r="5">
      <c r="A5" s="16" t="inlineStr">
        <is>
          <t>J001</t>
        </is>
      </c>
      <c r="B5" s="16" t="inlineStr">
        <is>
          <t>Operações</t>
        </is>
      </c>
      <c r="C5" s="16" t="inlineStr">
        <is>
          <t>Operações</t>
        </is>
      </c>
      <c r="D5" s="16" t="inlineStr">
        <is>
          <t>Operador de Operações I</t>
        </is>
      </c>
      <c r="E5" s="16" t="inlineStr">
        <is>
          <t>Operacional I</t>
        </is>
      </c>
      <c r="F5" s="16" t="n">
        <v>30</v>
      </c>
    </row>
    <row r="6">
      <c r="A6" s="17" t="inlineStr">
        <is>
          <t>J002</t>
        </is>
      </c>
      <c r="B6" s="17" t="inlineStr">
        <is>
          <t>Operações</t>
        </is>
      </c>
      <c r="C6" s="17" t="inlineStr">
        <is>
          <t>Operações</t>
        </is>
      </c>
      <c r="D6" s="17" t="inlineStr">
        <is>
          <t>Operador de Operações II</t>
        </is>
      </c>
      <c r="E6" s="17" t="inlineStr">
        <is>
          <t>Operacional II</t>
        </is>
      </c>
      <c r="F6" s="17" t="n">
        <v>22</v>
      </c>
    </row>
    <row r="7">
      <c r="A7" s="16" t="inlineStr">
        <is>
          <t>J003</t>
        </is>
      </c>
      <c r="B7" s="16" t="inlineStr">
        <is>
          <t>Operações</t>
        </is>
      </c>
      <c r="C7" s="16" t="inlineStr">
        <is>
          <t>Operações</t>
        </is>
      </c>
      <c r="D7" s="16" t="inlineStr">
        <is>
          <t>Operador de Operações III</t>
        </is>
      </c>
      <c r="E7" s="16" t="inlineStr">
        <is>
          <t>Operacional III</t>
        </is>
      </c>
      <c r="F7" s="16" t="n">
        <v>16</v>
      </c>
    </row>
    <row r="8">
      <c r="A8" s="17" t="inlineStr">
        <is>
          <t>J004</t>
        </is>
      </c>
      <c r="B8" s="17" t="inlineStr">
        <is>
          <t>Operações</t>
        </is>
      </c>
      <c r="C8" s="17" t="inlineStr">
        <is>
          <t>Operações</t>
        </is>
      </c>
      <c r="D8" s="17" t="inlineStr">
        <is>
          <t>Supervisor de Operações</t>
        </is>
      </c>
      <c r="E8" s="17" t="inlineStr">
        <is>
          <t>Supervisão</t>
        </is>
      </c>
      <c r="F8" s="17" t="n">
        <v>12</v>
      </c>
    </row>
    <row r="9">
      <c r="A9" s="16" t="inlineStr">
        <is>
          <t>J005</t>
        </is>
      </c>
      <c r="B9" s="16" t="inlineStr">
        <is>
          <t>Operações</t>
        </is>
      </c>
      <c r="C9" s="16" t="inlineStr">
        <is>
          <t>Operações</t>
        </is>
      </c>
      <c r="D9" s="16" t="inlineStr">
        <is>
          <t>Coordenador de Operações</t>
        </is>
      </c>
      <c r="E9" s="16" t="inlineStr">
        <is>
          <t>Coordenação</t>
        </is>
      </c>
      <c r="F9" s="16" t="n">
        <v>8</v>
      </c>
    </row>
    <row r="10">
      <c r="A10" s="17" t="inlineStr">
        <is>
          <t>J006</t>
        </is>
      </c>
      <c r="B10" s="17" t="inlineStr">
        <is>
          <t>Operações</t>
        </is>
      </c>
      <c r="C10" s="17" t="inlineStr">
        <is>
          <t>Operações</t>
        </is>
      </c>
      <c r="D10" s="17" t="inlineStr">
        <is>
          <t>Gerente de Operações</t>
        </is>
      </c>
      <c r="E10" s="17" t="inlineStr">
        <is>
          <t>Gerência</t>
        </is>
      </c>
      <c r="F10" s="17" t="n">
        <v>4</v>
      </c>
    </row>
    <row r="11">
      <c r="A11" s="16" t="inlineStr">
        <is>
          <t>J007</t>
        </is>
      </c>
      <c r="B11" s="16" t="inlineStr">
        <is>
          <t>Manutenção</t>
        </is>
      </c>
      <c r="C11" s="16" t="inlineStr">
        <is>
          <t>Manutenção</t>
        </is>
      </c>
      <c r="D11" s="16" t="inlineStr">
        <is>
          <t>Auxiliar de Manutenção</t>
        </is>
      </c>
      <c r="E11" s="16" t="inlineStr">
        <is>
          <t>Auxiliar</t>
        </is>
      </c>
      <c r="F11" s="16" t="n">
        <v>8</v>
      </c>
    </row>
    <row r="12">
      <c r="A12" s="17" t="inlineStr">
        <is>
          <t>J008</t>
        </is>
      </c>
      <c r="B12" s="17" t="inlineStr">
        <is>
          <t>Manutenção</t>
        </is>
      </c>
      <c r="C12" s="17" t="inlineStr">
        <is>
          <t>Manutenção</t>
        </is>
      </c>
      <c r="D12" s="17" t="inlineStr">
        <is>
          <t>Mecânico de Manutenção I</t>
        </is>
      </c>
      <c r="E12" s="17" t="inlineStr">
        <is>
          <t>Técnico I</t>
        </is>
      </c>
      <c r="F12" s="17" t="n">
        <v>10</v>
      </c>
    </row>
    <row r="13">
      <c r="A13" s="16" t="inlineStr">
        <is>
          <t>J009</t>
        </is>
      </c>
      <c r="B13" s="16" t="inlineStr">
        <is>
          <t>Manutenção</t>
        </is>
      </c>
      <c r="C13" s="16" t="inlineStr">
        <is>
          <t>Manutenção</t>
        </is>
      </c>
      <c r="D13" s="16" t="inlineStr">
        <is>
          <t>Mecânico de Manutenção II</t>
        </is>
      </c>
      <c r="E13" s="16" t="inlineStr">
        <is>
          <t>Técnico II</t>
        </is>
      </c>
      <c r="F13" s="16" t="n">
        <v>8</v>
      </c>
    </row>
    <row r="14">
      <c r="A14" s="17" t="inlineStr">
        <is>
          <t>J010</t>
        </is>
      </c>
      <c r="B14" s="17" t="inlineStr">
        <is>
          <t>Manutenção</t>
        </is>
      </c>
      <c r="C14" s="17" t="inlineStr">
        <is>
          <t>Manutenção</t>
        </is>
      </c>
      <c r="D14" s="17" t="inlineStr">
        <is>
          <t>Mecânico de Manutenção III</t>
        </is>
      </c>
      <c r="E14" s="17" t="inlineStr">
        <is>
          <t>Técnico III</t>
        </is>
      </c>
      <c r="F14" s="17" t="n">
        <v>6</v>
      </c>
    </row>
    <row r="15">
      <c r="A15" s="16" t="inlineStr">
        <is>
          <t>J011</t>
        </is>
      </c>
      <c r="B15" s="16" t="inlineStr">
        <is>
          <t>Manutenção</t>
        </is>
      </c>
      <c r="C15" s="16" t="inlineStr">
        <is>
          <t>Manutenção</t>
        </is>
      </c>
      <c r="D15" s="16" t="inlineStr">
        <is>
          <t>Supervisor de Manutenção</t>
        </is>
      </c>
      <c r="E15" s="16" t="inlineStr">
        <is>
          <t>Supervisão</t>
        </is>
      </c>
      <c r="F15" s="16" t="n">
        <v>6</v>
      </c>
    </row>
    <row r="16">
      <c r="A16" s="17" t="inlineStr">
        <is>
          <t>J012</t>
        </is>
      </c>
      <c r="B16" s="17" t="inlineStr">
        <is>
          <t>Manutenção</t>
        </is>
      </c>
      <c r="C16" s="17" t="inlineStr">
        <is>
          <t>Manutenção</t>
        </is>
      </c>
      <c r="D16" s="17" t="inlineStr">
        <is>
          <t>Coordenador de Manutenção</t>
        </is>
      </c>
      <c r="E16" s="17" t="inlineStr">
        <is>
          <t>Coordenação</t>
        </is>
      </c>
      <c r="F16" s="17" t="n">
        <v>4</v>
      </c>
    </row>
    <row r="17">
      <c r="A17" s="16" t="inlineStr">
        <is>
          <t>J013</t>
        </is>
      </c>
      <c r="B17" s="16" t="inlineStr">
        <is>
          <t>Comercial</t>
        </is>
      </c>
      <c r="C17" s="16" t="inlineStr">
        <is>
          <t>Comercial &amp; Vendas</t>
        </is>
      </c>
      <c r="D17" s="16" t="inlineStr">
        <is>
          <t>Assistente Comercial</t>
        </is>
      </c>
      <c r="E17" s="16" t="inlineStr">
        <is>
          <t>Assistente</t>
        </is>
      </c>
      <c r="F17" s="16" t="n">
        <v>4</v>
      </c>
    </row>
    <row r="18">
      <c r="A18" s="17" t="inlineStr">
        <is>
          <t>J014</t>
        </is>
      </c>
      <c r="B18" s="17" t="inlineStr">
        <is>
          <t>Comercial</t>
        </is>
      </c>
      <c r="C18" s="17" t="inlineStr">
        <is>
          <t>Comercial &amp; Vendas</t>
        </is>
      </c>
      <c r="D18" s="17" t="inlineStr">
        <is>
          <t>Analista Comercial</t>
        </is>
      </c>
      <c r="E18" s="17" t="inlineStr">
        <is>
          <t>Analista</t>
        </is>
      </c>
      <c r="F18" s="17" t="n">
        <v>4</v>
      </c>
    </row>
    <row r="19">
      <c r="A19" s="16" t="inlineStr">
        <is>
          <t>J015</t>
        </is>
      </c>
      <c r="B19" s="16" t="inlineStr">
        <is>
          <t>Comercial</t>
        </is>
      </c>
      <c r="C19" s="16" t="inlineStr">
        <is>
          <t>Comercial &amp; Vendas</t>
        </is>
      </c>
      <c r="D19" s="16" t="inlineStr">
        <is>
          <t>Executivo de Contas I</t>
        </is>
      </c>
      <c r="E19" s="16" t="inlineStr">
        <is>
          <t>Comercial I</t>
        </is>
      </c>
      <c r="F19" s="16" t="n">
        <v>8</v>
      </c>
    </row>
    <row r="20">
      <c r="A20" s="17" t="inlineStr">
        <is>
          <t>J016</t>
        </is>
      </c>
      <c r="B20" s="17" t="inlineStr">
        <is>
          <t>Comercial</t>
        </is>
      </c>
      <c r="C20" s="17" t="inlineStr">
        <is>
          <t>Comercial &amp; Vendas</t>
        </is>
      </c>
      <c r="D20" s="17" t="inlineStr">
        <is>
          <t>Executivo de Contas II</t>
        </is>
      </c>
      <c r="E20" s="17" t="inlineStr">
        <is>
          <t>Comercial II</t>
        </is>
      </c>
      <c r="F20" s="17" t="n">
        <v>6</v>
      </c>
    </row>
    <row r="21">
      <c r="A21" s="16" t="inlineStr">
        <is>
          <t>J017</t>
        </is>
      </c>
      <c r="B21" s="16" t="inlineStr">
        <is>
          <t>Comercial</t>
        </is>
      </c>
      <c r="C21" s="16" t="inlineStr">
        <is>
          <t>Comercial &amp; Vendas</t>
        </is>
      </c>
      <c r="D21" s="16" t="inlineStr">
        <is>
          <t>Coordenador Comercial</t>
        </is>
      </c>
      <c r="E21" s="16" t="inlineStr">
        <is>
          <t>Coordenação</t>
        </is>
      </c>
      <c r="F21" s="16" t="n">
        <v>3</v>
      </c>
    </row>
    <row r="22">
      <c r="A22" s="17" t="inlineStr">
        <is>
          <t>J018</t>
        </is>
      </c>
      <c r="B22" s="17" t="inlineStr">
        <is>
          <t>Comercial</t>
        </is>
      </c>
      <c r="C22" s="17" t="inlineStr">
        <is>
          <t>Comercial &amp; Vendas</t>
        </is>
      </c>
      <c r="D22" s="17" t="inlineStr">
        <is>
          <t>Gerente Comercial</t>
        </is>
      </c>
      <c r="E22" s="17" t="inlineStr">
        <is>
          <t>Gerência</t>
        </is>
      </c>
      <c r="F22" s="17" t="n">
        <v>3</v>
      </c>
    </row>
    <row r="23">
      <c r="A23" s="16" t="inlineStr">
        <is>
          <t>J019</t>
        </is>
      </c>
      <c r="B23" s="16" t="inlineStr">
        <is>
          <t>Engenharia</t>
        </is>
      </c>
      <c r="C23" s="16" t="inlineStr">
        <is>
          <t>Engenharia &amp; Projetos</t>
        </is>
      </c>
      <c r="D23" s="16" t="inlineStr">
        <is>
          <t>Técnico de Projetos</t>
        </is>
      </c>
      <c r="E23" s="16" t="inlineStr">
        <is>
          <t>Técnico</t>
        </is>
      </c>
      <c r="F23" s="16" t="n">
        <v>5</v>
      </c>
    </row>
    <row r="24">
      <c r="A24" s="17" t="inlineStr">
        <is>
          <t>J020</t>
        </is>
      </c>
      <c r="B24" s="17" t="inlineStr">
        <is>
          <t>Engenharia</t>
        </is>
      </c>
      <c r="C24" s="17" t="inlineStr">
        <is>
          <t>Engenharia &amp; Projetos</t>
        </is>
      </c>
      <c r="D24" s="17" t="inlineStr">
        <is>
          <t>Engenheiro de Projetos I</t>
        </is>
      </c>
      <c r="E24" s="17" t="inlineStr">
        <is>
          <t>Profissional I</t>
        </is>
      </c>
      <c r="F24" s="17" t="n">
        <v>6</v>
      </c>
    </row>
    <row r="25">
      <c r="A25" s="16" t="inlineStr">
        <is>
          <t>J021</t>
        </is>
      </c>
      <c r="B25" s="16" t="inlineStr">
        <is>
          <t>Engenharia</t>
        </is>
      </c>
      <c r="C25" s="16" t="inlineStr">
        <is>
          <t>Engenharia &amp; Projetos</t>
        </is>
      </c>
      <c r="D25" s="16" t="inlineStr">
        <is>
          <t>Engenheiro de Projetos II</t>
        </is>
      </c>
      <c r="E25" s="16" t="inlineStr">
        <is>
          <t>Profissional II</t>
        </is>
      </c>
      <c r="F25" s="16" t="n">
        <v>5</v>
      </c>
    </row>
    <row r="26">
      <c r="A26" s="17" t="inlineStr">
        <is>
          <t>J022</t>
        </is>
      </c>
      <c r="B26" s="17" t="inlineStr">
        <is>
          <t>Engenharia</t>
        </is>
      </c>
      <c r="C26" s="17" t="inlineStr">
        <is>
          <t>Engenharia &amp; Projetos</t>
        </is>
      </c>
      <c r="D26" s="17" t="inlineStr">
        <is>
          <t>Engenheiro de Projetos III</t>
        </is>
      </c>
      <c r="E26" s="17" t="inlineStr">
        <is>
          <t>Profissional III</t>
        </is>
      </c>
      <c r="F26" s="17" t="n">
        <v>4</v>
      </c>
    </row>
    <row r="27">
      <c r="A27" s="16" t="inlineStr">
        <is>
          <t>J023</t>
        </is>
      </c>
      <c r="B27" s="16" t="inlineStr">
        <is>
          <t>Engenharia</t>
        </is>
      </c>
      <c r="C27" s="16" t="inlineStr">
        <is>
          <t>Engenharia &amp; Projetos</t>
        </is>
      </c>
      <c r="D27" s="16" t="inlineStr">
        <is>
          <t>Coordenador de Engenharia</t>
        </is>
      </c>
      <c r="E27" s="16" t="inlineStr">
        <is>
          <t>Coordenação</t>
        </is>
      </c>
      <c r="F27" s="16" t="n">
        <v>3</v>
      </c>
    </row>
    <row r="28">
      <c r="A28" s="17" t="inlineStr">
        <is>
          <t>J024</t>
        </is>
      </c>
      <c r="B28" s="17" t="inlineStr">
        <is>
          <t>Engenharia</t>
        </is>
      </c>
      <c r="C28" s="17" t="inlineStr">
        <is>
          <t>Engenharia &amp; Projetos</t>
        </is>
      </c>
      <c r="D28" s="17" t="inlineStr">
        <is>
          <t>Gerente de Engenharia</t>
        </is>
      </c>
      <c r="E28" s="17" t="inlineStr">
        <is>
          <t>Gerência</t>
        </is>
      </c>
      <c r="F28" s="17" t="n">
        <v>2</v>
      </c>
    </row>
    <row r="29">
      <c r="A29" s="16" t="inlineStr">
        <is>
          <t>J025</t>
        </is>
      </c>
      <c r="B29" s="16" t="inlineStr">
        <is>
          <t>Logística</t>
        </is>
      </c>
      <c r="C29" s="16" t="inlineStr">
        <is>
          <t>Logística</t>
        </is>
      </c>
      <c r="D29" s="16" t="inlineStr">
        <is>
          <t>Auxiliar de Logística</t>
        </is>
      </c>
      <c r="E29" s="16" t="inlineStr">
        <is>
          <t>Auxiliar</t>
        </is>
      </c>
      <c r="F29" s="16" t="n">
        <v>6</v>
      </c>
    </row>
    <row r="30">
      <c r="A30" s="17" t="inlineStr">
        <is>
          <t>J026</t>
        </is>
      </c>
      <c r="B30" s="17" t="inlineStr">
        <is>
          <t>Logística</t>
        </is>
      </c>
      <c r="C30" s="17" t="inlineStr">
        <is>
          <t>Logística</t>
        </is>
      </c>
      <c r="D30" s="17" t="inlineStr">
        <is>
          <t>Assistente de Logística</t>
        </is>
      </c>
      <c r="E30" s="17" t="inlineStr">
        <is>
          <t>Assistente</t>
        </is>
      </c>
      <c r="F30" s="17" t="n">
        <v>4</v>
      </c>
    </row>
    <row r="31">
      <c r="A31" s="16" t="inlineStr">
        <is>
          <t>J027</t>
        </is>
      </c>
      <c r="B31" s="16" t="inlineStr">
        <is>
          <t>Logística</t>
        </is>
      </c>
      <c r="C31" s="16" t="inlineStr">
        <is>
          <t>Logística</t>
        </is>
      </c>
      <c r="D31" s="16" t="inlineStr">
        <is>
          <t>Analista de Logística</t>
        </is>
      </c>
      <c r="E31" s="16" t="inlineStr">
        <is>
          <t>Analista</t>
        </is>
      </c>
      <c r="F31" s="16" t="n">
        <v>5</v>
      </c>
    </row>
    <row r="32">
      <c r="A32" s="17" t="inlineStr">
        <is>
          <t>J028</t>
        </is>
      </c>
      <c r="B32" s="17" t="inlineStr">
        <is>
          <t>Logística</t>
        </is>
      </c>
      <c r="C32" s="17" t="inlineStr">
        <is>
          <t>Logística</t>
        </is>
      </c>
      <c r="D32" s="17" t="inlineStr">
        <is>
          <t>Supervisor de Logística</t>
        </is>
      </c>
      <c r="E32" s="17" t="inlineStr">
        <is>
          <t>Supervisão</t>
        </is>
      </c>
      <c r="F32" s="17" t="n">
        <v>4</v>
      </c>
    </row>
    <row r="33">
      <c r="A33" s="16" t="inlineStr">
        <is>
          <t>J029</t>
        </is>
      </c>
      <c r="B33" s="16" t="inlineStr">
        <is>
          <t>Logística</t>
        </is>
      </c>
      <c r="C33" s="16" t="inlineStr">
        <is>
          <t>Logística</t>
        </is>
      </c>
      <c r="D33" s="16" t="inlineStr">
        <is>
          <t>Coordenador de Logística</t>
        </is>
      </c>
      <c r="E33" s="16" t="inlineStr">
        <is>
          <t>Coordenação</t>
        </is>
      </c>
      <c r="F33" s="16" t="n">
        <v>3</v>
      </c>
    </row>
    <row r="34">
      <c r="A34" s="17" t="inlineStr">
        <is>
          <t>J030</t>
        </is>
      </c>
      <c r="B34" s="17" t="inlineStr">
        <is>
          <t>Logística</t>
        </is>
      </c>
      <c r="C34" s="17" t="inlineStr">
        <is>
          <t>Logística</t>
        </is>
      </c>
      <c r="D34" s="17" t="inlineStr">
        <is>
          <t>Gerente de Logística</t>
        </is>
      </c>
      <c r="E34" s="17" t="inlineStr">
        <is>
          <t>Gerência</t>
        </is>
      </c>
      <c r="F34" s="17" t="n">
        <v>2</v>
      </c>
    </row>
    <row r="35">
      <c r="A35" s="16" t="inlineStr">
        <is>
          <t>J031</t>
        </is>
      </c>
      <c r="B35" s="16" t="inlineStr">
        <is>
          <t>Financeiro</t>
        </is>
      </c>
      <c r="C35" s="16" t="inlineStr">
        <is>
          <t>Finanças</t>
        </is>
      </c>
      <c r="D35" s="16" t="inlineStr">
        <is>
          <t>Assistente Financeiro</t>
        </is>
      </c>
      <c r="E35" s="16" t="inlineStr">
        <is>
          <t>Assistente</t>
        </is>
      </c>
      <c r="F35" s="16" t="n">
        <v>4</v>
      </c>
    </row>
    <row r="36">
      <c r="A36" s="17" t="inlineStr">
        <is>
          <t>J032</t>
        </is>
      </c>
      <c r="B36" s="17" t="inlineStr">
        <is>
          <t>Financeiro</t>
        </is>
      </c>
      <c r="C36" s="17" t="inlineStr">
        <is>
          <t>Finanças</t>
        </is>
      </c>
      <c r="D36" s="17" t="inlineStr">
        <is>
          <t>Analista Financeiro I</t>
        </is>
      </c>
      <c r="E36" s="17" t="inlineStr">
        <is>
          <t>Analista I</t>
        </is>
      </c>
      <c r="F36" s="17" t="n">
        <v>4</v>
      </c>
    </row>
    <row r="37">
      <c r="A37" s="16" t="inlineStr">
        <is>
          <t>J033</t>
        </is>
      </c>
      <c r="B37" s="16" t="inlineStr">
        <is>
          <t>Financeiro</t>
        </is>
      </c>
      <c r="C37" s="16" t="inlineStr">
        <is>
          <t>Finanças</t>
        </is>
      </c>
      <c r="D37" s="16" t="inlineStr">
        <is>
          <t>Analista Financeiro II</t>
        </is>
      </c>
      <c r="E37" s="16" t="inlineStr">
        <is>
          <t>Analista II</t>
        </is>
      </c>
      <c r="F37" s="16" t="n">
        <v>4</v>
      </c>
    </row>
    <row r="38">
      <c r="A38" s="17" t="inlineStr">
        <is>
          <t>J034</t>
        </is>
      </c>
      <c r="B38" s="17" t="inlineStr">
        <is>
          <t>Financeiro</t>
        </is>
      </c>
      <c r="C38" s="17" t="inlineStr">
        <is>
          <t>Finanças</t>
        </is>
      </c>
      <c r="D38" s="17" t="inlineStr">
        <is>
          <t>Analista Financeiro III</t>
        </is>
      </c>
      <c r="E38" s="17" t="inlineStr">
        <is>
          <t>Analista III</t>
        </is>
      </c>
      <c r="F38" s="17" t="n">
        <v>3</v>
      </c>
    </row>
    <row r="39">
      <c r="A39" s="16" t="inlineStr">
        <is>
          <t>J035</t>
        </is>
      </c>
      <c r="B39" s="16" t="inlineStr">
        <is>
          <t>Financeiro</t>
        </is>
      </c>
      <c r="C39" s="16" t="inlineStr">
        <is>
          <t>Finanças</t>
        </is>
      </c>
      <c r="D39" s="16" t="inlineStr">
        <is>
          <t>Coordenador Financeiro</t>
        </is>
      </c>
      <c r="E39" s="16" t="inlineStr">
        <is>
          <t>Coordenação</t>
        </is>
      </c>
      <c r="F39" s="16" t="n">
        <v>3</v>
      </c>
    </row>
    <row r="40">
      <c r="A40" s="17" t="inlineStr">
        <is>
          <t>J036</t>
        </is>
      </c>
      <c r="B40" s="17" t="inlineStr">
        <is>
          <t>Financeiro</t>
        </is>
      </c>
      <c r="C40" s="17" t="inlineStr">
        <is>
          <t>Finanças</t>
        </is>
      </c>
      <c r="D40" s="17" t="inlineStr">
        <is>
          <t>Gerente Financeiro</t>
        </is>
      </c>
      <c r="E40" s="17" t="inlineStr">
        <is>
          <t>Gerência</t>
        </is>
      </c>
      <c r="F40" s="17" t="n">
        <v>2</v>
      </c>
    </row>
    <row r="41">
      <c r="A41" s="16" t="inlineStr">
        <is>
          <t>J037</t>
        </is>
      </c>
      <c r="B41" s="16" t="inlineStr">
        <is>
          <t>Gente &amp; Gestão</t>
        </is>
      </c>
      <c r="C41" s="16" t="inlineStr">
        <is>
          <t>Pessoas &amp; Organização</t>
        </is>
      </c>
      <c r="D41" s="16" t="inlineStr">
        <is>
          <t>Assistente de Gente &amp; Gestão</t>
        </is>
      </c>
      <c r="E41" s="16" t="inlineStr">
        <is>
          <t>Assistente</t>
        </is>
      </c>
      <c r="F41" s="16" t="n">
        <v>3</v>
      </c>
    </row>
    <row r="42">
      <c r="A42" s="17" t="inlineStr">
        <is>
          <t>J038</t>
        </is>
      </c>
      <c r="B42" s="17" t="inlineStr">
        <is>
          <t>Gente &amp; Gestão</t>
        </is>
      </c>
      <c r="C42" s="17" t="inlineStr">
        <is>
          <t>Pessoas &amp; Organização</t>
        </is>
      </c>
      <c r="D42" s="17" t="inlineStr">
        <is>
          <t>Analista de Gente &amp; Gestão I</t>
        </is>
      </c>
      <c r="E42" s="17" t="inlineStr">
        <is>
          <t>Analista I</t>
        </is>
      </c>
      <c r="F42" s="17" t="n">
        <v>4</v>
      </c>
    </row>
    <row r="43">
      <c r="A43" s="16" t="inlineStr">
        <is>
          <t>J039</t>
        </is>
      </c>
      <c r="B43" s="16" t="inlineStr">
        <is>
          <t>Gente &amp; Gestão</t>
        </is>
      </c>
      <c r="C43" s="16" t="inlineStr">
        <is>
          <t>Pessoas &amp; Organização</t>
        </is>
      </c>
      <c r="D43" s="16" t="inlineStr">
        <is>
          <t>Analista de Gente &amp; Gestão II</t>
        </is>
      </c>
      <c r="E43" s="16" t="inlineStr">
        <is>
          <t>Analista II</t>
        </is>
      </c>
      <c r="F43" s="16" t="n">
        <v>3</v>
      </c>
    </row>
    <row r="44">
      <c r="A44" s="17" t="inlineStr">
        <is>
          <t>J040</t>
        </is>
      </c>
      <c r="B44" s="17" t="inlineStr">
        <is>
          <t>Gente &amp; Gestão</t>
        </is>
      </c>
      <c r="C44" s="17" t="inlineStr">
        <is>
          <t>Pessoas &amp; Organização</t>
        </is>
      </c>
      <c r="D44" s="17" t="inlineStr">
        <is>
          <t>Analista de Gente &amp; Gestão III</t>
        </is>
      </c>
      <c r="E44" s="17" t="inlineStr">
        <is>
          <t>Analista III</t>
        </is>
      </c>
      <c r="F44" s="17" t="n">
        <v>3</v>
      </c>
    </row>
    <row r="45">
      <c r="A45" s="16" t="inlineStr">
        <is>
          <t>J041</t>
        </is>
      </c>
      <c r="B45" s="16" t="inlineStr">
        <is>
          <t>Gente &amp; Gestão</t>
        </is>
      </c>
      <c r="C45" s="16" t="inlineStr">
        <is>
          <t>Pessoas &amp; Organização</t>
        </is>
      </c>
      <c r="D45" s="16" t="inlineStr">
        <is>
          <t>Coordenador de Gente &amp; Gestão</t>
        </is>
      </c>
      <c r="E45" s="16" t="inlineStr">
        <is>
          <t>Coordenação</t>
        </is>
      </c>
      <c r="F45" s="16" t="n">
        <v>3</v>
      </c>
    </row>
    <row r="46">
      <c r="A46" s="17" t="inlineStr">
        <is>
          <t>J042</t>
        </is>
      </c>
      <c r="B46" s="17" t="inlineStr">
        <is>
          <t>Gente &amp; Gestão</t>
        </is>
      </c>
      <c r="C46" s="17" t="inlineStr">
        <is>
          <t>Pessoas &amp; Organização</t>
        </is>
      </c>
      <c r="D46" s="17" t="inlineStr">
        <is>
          <t>Gerente de Gente &amp; Gestão</t>
        </is>
      </c>
      <c r="E46" s="17" t="inlineStr">
        <is>
          <t>Gerência</t>
        </is>
      </c>
      <c r="F46" s="17" t="n">
        <v>2</v>
      </c>
    </row>
    <row r="47">
      <c r="A47" s="16" t="inlineStr">
        <is>
          <t>J043</t>
        </is>
      </c>
      <c r="B47" s="16" t="inlineStr">
        <is>
          <t>Tecnologia</t>
        </is>
      </c>
      <c r="C47" s="16" t="inlineStr">
        <is>
          <t>Tecnologia &amp; Dados</t>
        </is>
      </c>
      <c r="D47" s="16" t="inlineStr">
        <is>
          <t>Técnico de Suporte</t>
        </is>
      </c>
      <c r="E47" s="16" t="inlineStr">
        <is>
          <t>Técnico</t>
        </is>
      </c>
      <c r="F47" s="16" t="n">
        <v>4</v>
      </c>
    </row>
    <row r="48">
      <c r="A48" s="17" t="inlineStr">
        <is>
          <t>J044</t>
        </is>
      </c>
      <c r="B48" s="17" t="inlineStr">
        <is>
          <t>Tecnologia</t>
        </is>
      </c>
      <c r="C48" s="17" t="inlineStr">
        <is>
          <t>Tecnologia &amp; Dados</t>
        </is>
      </c>
      <c r="D48" s="17" t="inlineStr">
        <is>
          <t>Analista de Sistemas I</t>
        </is>
      </c>
      <c r="E48" s="17" t="inlineStr">
        <is>
          <t>Analista I</t>
        </is>
      </c>
      <c r="F48" s="17" t="n">
        <v>4</v>
      </c>
    </row>
    <row r="49">
      <c r="A49" s="16" t="inlineStr">
        <is>
          <t>J045</t>
        </is>
      </c>
      <c r="B49" s="16" t="inlineStr">
        <is>
          <t>Tecnologia</t>
        </is>
      </c>
      <c r="C49" s="16" t="inlineStr">
        <is>
          <t>Tecnologia &amp; Dados</t>
        </is>
      </c>
      <c r="D49" s="16" t="inlineStr">
        <is>
          <t>Analista de Sistemas II</t>
        </is>
      </c>
      <c r="E49" s="16" t="inlineStr">
        <is>
          <t>Analista II</t>
        </is>
      </c>
      <c r="F49" s="16" t="n">
        <v>3</v>
      </c>
    </row>
    <row r="50">
      <c r="A50" s="17" t="inlineStr">
        <is>
          <t>J046</t>
        </is>
      </c>
      <c r="B50" s="17" t="inlineStr">
        <is>
          <t>Tecnologia</t>
        </is>
      </c>
      <c r="C50" s="17" t="inlineStr">
        <is>
          <t>Tecnologia &amp; Dados</t>
        </is>
      </c>
      <c r="D50" s="17" t="inlineStr">
        <is>
          <t>Analista de Dados</t>
        </is>
      </c>
      <c r="E50" s="17" t="inlineStr">
        <is>
          <t>Analista</t>
        </is>
      </c>
      <c r="F50" s="17" t="n">
        <v>2</v>
      </c>
    </row>
    <row r="51">
      <c r="A51" s="16" t="inlineStr">
        <is>
          <t>J047</t>
        </is>
      </c>
      <c r="B51" s="16" t="inlineStr">
        <is>
          <t>Tecnologia</t>
        </is>
      </c>
      <c r="C51" s="16" t="inlineStr">
        <is>
          <t>Tecnologia &amp; Dados</t>
        </is>
      </c>
      <c r="D51" s="16" t="inlineStr">
        <is>
          <t>Coordenador de Tecnologia</t>
        </is>
      </c>
      <c r="E51" s="16" t="inlineStr">
        <is>
          <t>Coordenação</t>
        </is>
      </c>
      <c r="F51" s="16" t="n">
        <v>2</v>
      </c>
    </row>
    <row r="52">
      <c r="A52" s="17" t="inlineStr">
        <is>
          <t>J048</t>
        </is>
      </c>
      <c r="B52" s="17" t="inlineStr">
        <is>
          <t>Tecnologia</t>
        </is>
      </c>
      <c r="C52" s="17" t="inlineStr">
        <is>
          <t>Tecnologia &amp; Dados</t>
        </is>
      </c>
      <c r="D52" s="17" t="inlineStr">
        <is>
          <t>Gerente de Tecnologia</t>
        </is>
      </c>
      <c r="E52" s="17" t="inlineStr">
        <is>
          <t>Gerência</t>
        </is>
      </c>
      <c r="F52" s="17" t="n">
        <v>2</v>
      </c>
    </row>
    <row r="53">
      <c r="A53" s="16" t="inlineStr">
        <is>
          <t>J049</t>
        </is>
      </c>
      <c r="B53" s="16" t="inlineStr">
        <is>
          <t>Suprimentos</t>
        </is>
      </c>
      <c r="C53" s="16" t="inlineStr">
        <is>
          <t>Suprimentos</t>
        </is>
      </c>
      <c r="D53" s="16" t="inlineStr">
        <is>
          <t>Assistente de Suprimentos</t>
        </is>
      </c>
      <c r="E53" s="16" t="inlineStr">
        <is>
          <t>Assistente</t>
        </is>
      </c>
      <c r="F53" s="16" t="n">
        <v>3</v>
      </c>
    </row>
    <row r="54">
      <c r="A54" s="17" t="inlineStr">
        <is>
          <t>J050</t>
        </is>
      </c>
      <c r="B54" s="17" t="inlineStr">
        <is>
          <t>Suprimentos</t>
        </is>
      </c>
      <c r="C54" s="17" t="inlineStr">
        <is>
          <t>Suprimentos</t>
        </is>
      </c>
      <c r="D54" s="17" t="inlineStr">
        <is>
          <t>Comprador I</t>
        </is>
      </c>
      <c r="E54" s="17" t="inlineStr">
        <is>
          <t>Profissional I</t>
        </is>
      </c>
      <c r="F54" s="17" t="n">
        <v>4</v>
      </c>
    </row>
    <row r="55">
      <c r="A55" s="16" t="inlineStr">
        <is>
          <t>J051</t>
        </is>
      </c>
      <c r="B55" s="16" t="inlineStr">
        <is>
          <t>Suprimentos</t>
        </is>
      </c>
      <c r="C55" s="16" t="inlineStr">
        <is>
          <t>Suprimentos</t>
        </is>
      </c>
      <c r="D55" s="16" t="inlineStr">
        <is>
          <t>Comprador II</t>
        </is>
      </c>
      <c r="E55" s="16" t="inlineStr">
        <is>
          <t>Profissional II</t>
        </is>
      </c>
      <c r="F55" s="16" t="n">
        <v>3</v>
      </c>
    </row>
    <row r="56">
      <c r="A56" s="17" t="inlineStr">
        <is>
          <t>J052</t>
        </is>
      </c>
      <c r="B56" s="17" t="inlineStr">
        <is>
          <t>Suprimentos</t>
        </is>
      </c>
      <c r="C56" s="17" t="inlineStr">
        <is>
          <t>Suprimentos</t>
        </is>
      </c>
      <c r="D56" s="17" t="inlineStr">
        <is>
          <t>Comprador III</t>
        </is>
      </c>
      <c r="E56" s="17" t="inlineStr">
        <is>
          <t>Profissional III</t>
        </is>
      </c>
      <c r="F56" s="17" t="n">
        <v>2</v>
      </c>
    </row>
    <row r="57">
      <c r="A57" s="16" t="inlineStr">
        <is>
          <t>J053</t>
        </is>
      </c>
      <c r="B57" s="16" t="inlineStr">
        <is>
          <t>Suprimentos</t>
        </is>
      </c>
      <c r="C57" s="16" t="inlineStr">
        <is>
          <t>Suprimentos</t>
        </is>
      </c>
      <c r="D57" s="16" t="inlineStr">
        <is>
          <t>Coordenador de Suprimentos</t>
        </is>
      </c>
      <c r="E57" s="16" t="inlineStr">
        <is>
          <t>Coordenação</t>
        </is>
      </c>
      <c r="F57" s="16" t="n">
        <v>2</v>
      </c>
    </row>
    <row r="58">
      <c r="A58" s="17" t="inlineStr">
        <is>
          <t>J054</t>
        </is>
      </c>
      <c r="B58" s="17" t="inlineStr">
        <is>
          <t>Suprimentos</t>
        </is>
      </c>
      <c r="C58" s="17" t="inlineStr">
        <is>
          <t>Suprimentos</t>
        </is>
      </c>
      <c r="D58" s="17" t="inlineStr">
        <is>
          <t>Gerente de Suprimentos</t>
        </is>
      </c>
      <c r="E58" s="17" t="inlineStr">
        <is>
          <t>Gerência</t>
        </is>
      </c>
      <c r="F58" s="17" t="n">
        <v>2</v>
      </c>
    </row>
    <row r="59">
      <c r="A59" s="16" t="inlineStr">
        <is>
          <t>J055</t>
        </is>
      </c>
      <c r="B59" s="16" t="inlineStr">
        <is>
          <t>Administrativo</t>
        </is>
      </c>
      <c r="C59" s="16" t="inlineStr">
        <is>
          <t>Administração Corporativa</t>
        </is>
      </c>
      <c r="D59" s="16" t="inlineStr">
        <is>
          <t>Auxiliar Administrativo</t>
        </is>
      </c>
      <c r="E59" s="16" t="inlineStr">
        <is>
          <t>Auxiliar</t>
        </is>
      </c>
      <c r="F59" s="16" t="n">
        <v>4</v>
      </c>
    </row>
    <row r="60">
      <c r="A60" s="17" t="inlineStr">
        <is>
          <t>J056</t>
        </is>
      </c>
      <c r="B60" s="17" t="inlineStr">
        <is>
          <t>Administrativo</t>
        </is>
      </c>
      <c r="C60" s="17" t="inlineStr">
        <is>
          <t>Administração Corporativa</t>
        </is>
      </c>
      <c r="D60" s="17" t="inlineStr">
        <is>
          <t>Assistente Administrativo</t>
        </is>
      </c>
      <c r="E60" s="17" t="inlineStr">
        <is>
          <t>Assistente</t>
        </is>
      </c>
      <c r="F60" s="17" t="n">
        <v>4</v>
      </c>
    </row>
    <row r="61">
      <c r="A61" s="16" t="inlineStr">
        <is>
          <t>J057</t>
        </is>
      </c>
      <c r="B61" s="16" t="inlineStr">
        <is>
          <t>Administrativo</t>
        </is>
      </c>
      <c r="C61" s="16" t="inlineStr">
        <is>
          <t>Administração Corporativa</t>
        </is>
      </c>
      <c r="D61" s="16" t="inlineStr">
        <is>
          <t>Analista Administrativo I</t>
        </is>
      </c>
      <c r="E61" s="16" t="inlineStr">
        <is>
          <t>Analista I</t>
        </is>
      </c>
      <c r="F61" s="16" t="n">
        <v>3</v>
      </c>
    </row>
    <row r="62">
      <c r="A62" s="17" t="inlineStr">
        <is>
          <t>J058</t>
        </is>
      </c>
      <c r="B62" s="17" t="inlineStr">
        <is>
          <t>Administrativo</t>
        </is>
      </c>
      <c r="C62" s="17" t="inlineStr">
        <is>
          <t>Administração Corporativa</t>
        </is>
      </c>
      <c r="D62" s="17" t="inlineStr">
        <is>
          <t>Analista Administrativo II</t>
        </is>
      </c>
      <c r="E62" s="17" t="inlineStr">
        <is>
          <t>Analista II</t>
        </is>
      </c>
      <c r="F62" s="17" t="n">
        <v>3</v>
      </c>
    </row>
    <row r="63">
      <c r="A63" s="16" t="inlineStr">
        <is>
          <t>J059</t>
        </is>
      </c>
      <c r="B63" s="16" t="inlineStr">
        <is>
          <t>Administrativo</t>
        </is>
      </c>
      <c r="C63" s="16" t="inlineStr">
        <is>
          <t>Administração Corporativa</t>
        </is>
      </c>
      <c r="D63" s="16" t="inlineStr">
        <is>
          <t>Coordenador Administrativo</t>
        </is>
      </c>
      <c r="E63" s="16" t="inlineStr">
        <is>
          <t>Coordenação</t>
        </is>
      </c>
      <c r="F63" s="16" t="n">
        <v>2</v>
      </c>
    </row>
    <row r="64">
      <c r="A64" s="17" t="inlineStr">
        <is>
          <t>J060</t>
        </is>
      </c>
      <c r="B64" s="17" t="inlineStr">
        <is>
          <t>Administrativo</t>
        </is>
      </c>
      <c r="C64" s="17" t="inlineStr">
        <is>
          <t>Administração Corporativa</t>
        </is>
      </c>
      <c r="D64" s="17" t="inlineStr">
        <is>
          <t>Gerente Administrativo</t>
        </is>
      </c>
      <c r="E64" s="17" t="inlineStr">
        <is>
          <t>Gerência</t>
        </is>
      </c>
      <c r="F64" s="17" t="n">
        <v>2</v>
      </c>
    </row>
  </sheetData>
  <autoFilter ref="A4:F64"/>
  <mergeCells count="2">
    <mergeCell ref="A2:F2"/>
    <mergeCell ref="A1:F1"/>
  </mergeCells>
  <pageMargins left="0.25" right="0.25" top="0.5" bottom="0.5" header="0.5" footer="0.5"/>
  <pageSetup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48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</cols>
  <sheetData>
    <row r="1">
      <c r="A1" s="18" t="inlineStr">
        <is>
          <t>METODOLOGIA DE AVALIAÇÃO DE CARGOS POR PONTOS</t>
        </is>
      </c>
    </row>
    <row r="2">
      <c r="A2" s="2" t="inlineStr">
        <is>
          <t>Escala total: 200 a 1.000 pontos | 10 fatores | 5 graus por fator | dados sintéticos</t>
        </is>
      </c>
    </row>
    <row r="4">
      <c r="A4" s="19" t="inlineStr">
        <is>
          <t>Fator</t>
        </is>
      </c>
      <c r="B4" s="19" t="inlineStr">
        <is>
          <t>Peso</t>
        </is>
      </c>
      <c r="C4" s="19" t="inlineStr">
        <is>
          <t>Máx. Pontos</t>
        </is>
      </c>
      <c r="D4" s="19" t="inlineStr">
        <is>
          <t>G1</t>
        </is>
      </c>
      <c r="E4" s="19" t="inlineStr">
        <is>
          <t>G2</t>
        </is>
      </c>
      <c r="F4" s="19" t="inlineStr">
        <is>
          <t>G3</t>
        </is>
      </c>
      <c r="G4" s="19" t="inlineStr">
        <is>
          <t>G4</t>
        </is>
      </c>
      <c r="H4" s="19" t="inlineStr">
        <is>
          <t>G5</t>
        </is>
      </c>
      <c r="I4" s="19" t="inlineStr">
        <is>
          <t>Descrição</t>
        </is>
      </c>
      <c r="J4" s="19" t="inlineStr">
        <is>
          <t>Referência G1</t>
        </is>
      </c>
      <c r="K4" s="19" t="inlineStr">
        <is>
          <t>Referência G2</t>
        </is>
      </c>
      <c r="L4" s="19" t="inlineStr">
        <is>
          <t>Referência G3</t>
        </is>
      </c>
      <c r="M4" s="19" t="inlineStr">
        <is>
          <t>Referência G4</t>
        </is>
      </c>
      <c r="N4" s="19" t="inlineStr">
        <is>
          <t>Referência G5</t>
        </is>
      </c>
    </row>
    <row r="5">
      <c r="A5" s="20" t="inlineStr">
        <is>
          <t>Conhecimento e Formação</t>
        </is>
      </c>
      <c r="B5" s="21" t="n">
        <v>0.14</v>
      </c>
      <c r="C5" s="20" t="n">
        <v>140</v>
      </c>
      <c r="D5" s="20" t="n">
        <v>28</v>
      </c>
      <c r="E5" s="20" t="n">
        <v>56</v>
      </c>
      <c r="F5" s="20" t="n">
        <v>84</v>
      </c>
      <c r="G5" s="20" t="n">
        <v>112</v>
      </c>
      <c r="H5" s="20" t="n">
        <v>140</v>
      </c>
      <c r="I5" s="22" t="inlineStr">
        <is>
          <t>Nível de conhecimento técnico, acadêmico ou profissional exigido.</t>
        </is>
      </c>
      <c r="J5" s="22" t="inlineStr">
        <is>
          <t>Conhecimentos básicos e treinamento operacional</t>
        </is>
      </c>
      <c r="K5" s="22" t="inlineStr">
        <is>
          <t>Ensino médio ou conhecimento técnico elementar</t>
        </is>
      </c>
      <c r="L5" s="22" t="inlineStr">
        <is>
          <t>Formação técnica ou superior aplicada à função</t>
        </is>
      </c>
      <c r="M5" s="22" t="inlineStr">
        <is>
          <t>Formação superior com conhecimento especializado</t>
        </is>
      </c>
      <c r="N5" s="22" t="inlineStr">
        <is>
          <t>Conhecimento avançado, multidisciplinar ou estratégico</t>
        </is>
      </c>
    </row>
    <row r="6">
      <c r="A6" s="20" t="inlineStr">
        <is>
          <t>Experiência</t>
        </is>
      </c>
      <c r="B6" s="21" t="n">
        <v>0.1</v>
      </c>
      <c r="C6" s="20" t="n">
        <v>100</v>
      </c>
      <c r="D6" s="20" t="n">
        <v>20</v>
      </c>
      <c r="E6" s="20" t="n">
        <v>40</v>
      </c>
      <c r="F6" s="20" t="n">
        <v>60</v>
      </c>
      <c r="G6" s="20" t="n">
        <v>80</v>
      </c>
      <c r="H6" s="20" t="n">
        <v>100</v>
      </c>
      <c r="I6" s="22" t="inlineStr">
        <is>
          <t>Tempo e profundidade de experiência necessários para exercer o cargo com autonomia.</t>
        </is>
      </c>
      <c r="J6" s="22" t="inlineStr">
        <is>
          <t>Até 6 meses</t>
        </is>
      </c>
      <c r="K6" s="22" t="inlineStr">
        <is>
          <t>De 6 meses a 2 anos</t>
        </is>
      </c>
      <c r="L6" s="22" t="inlineStr">
        <is>
          <t>De 2 a 4 anos</t>
        </is>
      </c>
      <c r="M6" s="22" t="inlineStr">
        <is>
          <t>De 4 a 7 anos</t>
        </is>
      </c>
      <c r="N6" s="22" t="inlineStr">
        <is>
          <t>Acima de 7 anos ou experiência altamente especializada</t>
        </is>
      </c>
    </row>
    <row r="7">
      <c r="A7" s="20" t="inlineStr">
        <is>
          <t>Complexidade</t>
        </is>
      </c>
      <c r="B7" s="21" t="n">
        <v>0.14</v>
      </c>
      <c r="C7" s="20" t="n">
        <v>140</v>
      </c>
      <c r="D7" s="20" t="n">
        <v>28</v>
      </c>
      <c r="E7" s="20" t="n">
        <v>56</v>
      </c>
      <c r="F7" s="20" t="n">
        <v>84</v>
      </c>
      <c r="G7" s="20" t="n">
        <v>112</v>
      </c>
      <c r="H7" s="20" t="n">
        <v>140</v>
      </c>
      <c r="I7" s="22" t="inlineStr">
        <is>
          <t>Variedade, dificuldade e nível de análise exigidos pelas atividades.</t>
        </is>
      </c>
      <c r="J7" s="22" t="inlineStr">
        <is>
          <t>Atividades padronizadas e repetitivas</t>
        </is>
      </c>
      <c r="K7" s="22" t="inlineStr">
        <is>
          <t>Rotinas variadas com procedimentos definidos</t>
        </is>
      </c>
      <c r="L7" s="22" t="inlineStr">
        <is>
          <t>Análise de situações e resolução de problemas</t>
        </is>
      </c>
      <c r="M7" s="22" t="inlineStr">
        <is>
          <t>Problemas complexos e múltiplas variáveis</t>
        </is>
      </c>
      <c r="N7" s="22" t="inlineStr">
        <is>
          <t>Questões estratégicas, inéditas ou de alta complexidade</t>
        </is>
      </c>
    </row>
    <row r="8">
      <c r="A8" s="20" t="inlineStr">
        <is>
          <t>Autonomia</t>
        </is>
      </c>
      <c r="B8" s="21" t="n">
        <v>0.1</v>
      </c>
      <c r="C8" s="20" t="n">
        <v>100</v>
      </c>
      <c r="D8" s="20" t="n">
        <v>20</v>
      </c>
      <c r="E8" s="20" t="n">
        <v>40</v>
      </c>
      <c r="F8" s="20" t="n">
        <v>60</v>
      </c>
      <c r="G8" s="20" t="n">
        <v>80</v>
      </c>
      <c r="H8" s="20" t="n">
        <v>100</v>
      </c>
      <c r="I8" s="22" t="inlineStr">
        <is>
          <t>Grau de independência para executar atividades e definir caminhos.</t>
        </is>
      </c>
      <c r="J8" s="22" t="inlineStr">
        <is>
          <t>Supervisão constante</t>
        </is>
      </c>
      <c r="K8" s="22" t="inlineStr">
        <is>
          <t>Supervisão frequente e procedimentos definidos</t>
        </is>
      </c>
      <c r="L8" s="22" t="inlineStr">
        <is>
          <t>Autonomia dentro de políticas estabelecidas</t>
        </is>
      </c>
      <c r="M8" s="22" t="inlineStr">
        <is>
          <t>Ampla autonomia sobre processos ou área</t>
        </is>
      </c>
      <c r="N8" s="22" t="inlineStr">
        <is>
          <t>Define diretrizes e direcionamentos organizacionais</t>
        </is>
      </c>
    </row>
    <row r="9">
      <c r="A9" s="20" t="inlineStr">
        <is>
          <t>Tomada de Decisão</t>
        </is>
      </c>
      <c r="B9" s="21" t="n">
        <v>0.1</v>
      </c>
      <c r="C9" s="20" t="n">
        <v>100</v>
      </c>
      <c r="D9" s="20" t="n">
        <v>20</v>
      </c>
      <c r="E9" s="20" t="n">
        <v>40</v>
      </c>
      <c r="F9" s="20" t="n">
        <v>60</v>
      </c>
      <c r="G9" s="20" t="n">
        <v>80</v>
      </c>
      <c r="H9" s="20" t="n">
        <v>100</v>
      </c>
      <c r="I9" s="22" t="inlineStr">
        <is>
          <t>Relevância e abrangência das decisões tomadas pelo cargo.</t>
        </is>
      </c>
      <c r="J9" s="22" t="inlineStr">
        <is>
          <t>Decisões operacionais simples</t>
        </is>
      </c>
      <c r="K9" s="22" t="inlineStr">
        <is>
          <t>Decisões sobre a própria rotina</t>
        </is>
      </c>
      <c r="L9" s="22" t="inlineStr">
        <is>
          <t>Decisões com impacto em processos ou equipe</t>
        </is>
      </c>
      <c r="M9" s="22" t="inlineStr">
        <is>
          <t>Decisões com impacto em área ou unidade</t>
        </is>
      </c>
      <c r="N9" s="22" t="inlineStr">
        <is>
          <t>Decisões estratégicas com impacto organizacional</t>
        </is>
      </c>
    </row>
    <row r="10">
      <c r="A10" s="20" t="inlineStr">
        <is>
          <t>Impacto no Negócio</t>
        </is>
      </c>
      <c r="B10" s="21" t="n">
        <v>0.12</v>
      </c>
      <c r="C10" s="20" t="n">
        <v>120</v>
      </c>
      <c r="D10" s="20" t="n">
        <v>24</v>
      </c>
      <c r="E10" s="20" t="n">
        <v>48</v>
      </c>
      <c r="F10" s="20" t="n">
        <v>72</v>
      </c>
      <c r="G10" s="20" t="n">
        <v>96</v>
      </c>
      <c r="H10" s="20" t="n">
        <v>120</v>
      </c>
      <c r="I10" s="22" t="inlineStr">
        <is>
          <t>Influência sobre resultados, custos, receitas, produtividade, qualidade ou continuidade da operação.</t>
        </is>
      </c>
      <c r="J10" s="22" t="inlineStr">
        <is>
          <t>Impacto restrito à própria atividade</t>
        </is>
      </c>
      <c r="K10" s="22" t="inlineStr">
        <is>
          <t>Impacto sobre uma rotina ou pequeno processo</t>
        </is>
      </c>
      <c r="L10" s="22" t="inlineStr">
        <is>
          <t>Impacto relevante sobre processo, projeto ou equipe</t>
        </is>
      </c>
      <c r="M10" s="22" t="inlineStr">
        <is>
          <t>Impacto financeiro ou operacional significativo</t>
        </is>
      </c>
      <c r="N10" s="22" t="inlineStr">
        <is>
          <t>Impacto estratégico sobre resultados do negócio</t>
        </is>
      </c>
    </row>
    <row r="11">
      <c r="A11" s="20" t="inlineStr">
        <is>
          <t>Gestão de Pessoas</t>
        </is>
      </c>
      <c r="B11" s="21" t="n">
        <v>0.1</v>
      </c>
      <c r="C11" s="20" t="n">
        <v>100</v>
      </c>
      <c r="D11" s="20" t="n">
        <v>20</v>
      </c>
      <c r="E11" s="20" t="n">
        <v>40</v>
      </c>
      <c r="F11" s="20" t="n">
        <v>60</v>
      </c>
      <c r="G11" s="20" t="n">
        <v>80</v>
      </c>
      <c r="H11" s="20" t="n">
        <v>100</v>
      </c>
      <c r="I11" s="22" t="inlineStr">
        <is>
          <t>Responsabilidade formal ou funcional sobre outras pessoas.</t>
        </is>
      </c>
      <c r="J11" s="22" t="inlineStr">
        <is>
          <t>Sem gestão direta</t>
        </is>
      </c>
      <c r="K11" s="22" t="inlineStr">
        <is>
          <t>Orientação técnica ou apoio a colegas</t>
        </is>
      </c>
      <c r="L11" s="22" t="inlineStr">
        <is>
          <t>Supervisão de equipe</t>
        </is>
      </c>
      <c r="M11" s="22" t="inlineStr">
        <is>
          <t>Gestão de equipes ou múltiplos processos</t>
        </is>
      </c>
      <c r="N11" s="22" t="inlineStr">
        <is>
          <t>Gestão de gestores, áreas ou estruturas amplas</t>
        </is>
      </c>
    </row>
    <row r="12">
      <c r="A12" s="20" t="inlineStr">
        <is>
          <t>Relacionamento e Influência</t>
        </is>
      </c>
      <c r="B12" s="21" t="n">
        <v>0.08</v>
      </c>
      <c r="C12" s="20" t="n">
        <v>80</v>
      </c>
      <c r="D12" s="20" t="n">
        <v>16</v>
      </c>
      <c r="E12" s="20" t="n">
        <v>32</v>
      </c>
      <c r="F12" s="20" t="n">
        <v>48</v>
      </c>
      <c r="G12" s="20" t="n">
        <v>64</v>
      </c>
      <c r="H12" s="20" t="n">
        <v>80</v>
      </c>
      <c r="I12" s="22" t="inlineStr">
        <is>
          <t>Necessidade de interação, negociação, comunicação e influência.</t>
        </is>
      </c>
      <c r="J12" s="22" t="inlineStr">
        <is>
          <t>Contatos predominantemente internos e rotineiros</t>
        </is>
      </c>
      <c r="K12" s="22" t="inlineStr">
        <is>
          <t>Interação frequente com outras áreas</t>
        </is>
      </c>
      <c r="L12" s="22" t="inlineStr">
        <is>
          <t>Negociação e relacionamento com diferentes públicos</t>
        </is>
      </c>
      <c r="M12" s="22" t="inlineStr">
        <is>
          <t>Influência sobre decisões e stakeholders relevantes</t>
        </is>
      </c>
      <c r="N12" s="22" t="inlineStr">
        <is>
          <t>Representação estratégica e negociações críticas</t>
        </is>
      </c>
    </row>
    <row r="13">
      <c r="A13" s="20" t="inlineStr">
        <is>
          <t>Responsabilidade por Informações</t>
        </is>
      </c>
      <c r="B13" s="21" t="n">
        <v>0.06</v>
      </c>
      <c r="C13" s="20" t="n">
        <v>60</v>
      </c>
      <c r="D13" s="20" t="n">
        <v>12</v>
      </c>
      <c r="E13" s="20" t="n">
        <v>24</v>
      </c>
      <c r="F13" s="20" t="n">
        <v>36</v>
      </c>
      <c r="G13" s="20" t="n">
        <v>48</v>
      </c>
      <c r="H13" s="20" t="n">
        <v>60</v>
      </c>
      <c r="I13" s="22" t="inlineStr">
        <is>
          <t>Criticidade, confidencialidade e relevância das informações utilizadas ou produzidas.</t>
        </is>
      </c>
      <c r="J13" s="22" t="inlineStr">
        <is>
          <t>Informações operacionais de baixa criticidade</t>
        </is>
      </c>
      <c r="K13" s="22" t="inlineStr">
        <is>
          <t>Informações internas de rotina</t>
        </is>
      </c>
      <c r="L13" s="22" t="inlineStr">
        <is>
          <t>Informações financeiras, técnicas ou pessoais relevantes</t>
        </is>
      </c>
      <c r="M13" s="22" t="inlineStr">
        <is>
          <t>Informações confidenciais e de impacto gerencial</t>
        </is>
      </c>
      <c r="N13" s="22" t="inlineStr">
        <is>
          <t>Informações estratégicas ou altamente sensíveis</t>
        </is>
      </c>
    </row>
    <row r="14">
      <c r="A14" s="20" t="inlineStr">
        <is>
          <t>Condições de Trabalho e Risco</t>
        </is>
      </c>
      <c r="B14" s="21" t="n">
        <v>0.06</v>
      </c>
      <c r="C14" s="20" t="n">
        <v>60</v>
      </c>
      <c r="D14" s="20" t="n">
        <v>12</v>
      </c>
      <c r="E14" s="20" t="n">
        <v>24</v>
      </c>
      <c r="F14" s="20" t="n">
        <v>36</v>
      </c>
      <c r="G14" s="20" t="n">
        <v>48</v>
      </c>
      <c r="H14" s="20" t="n">
        <v>60</v>
      </c>
      <c r="I14" s="22" t="inlineStr">
        <is>
          <t>Exposição a condições adversas, esforço físico, ambiente operacional ou riscos inerentes ao trabalho.</t>
        </is>
      </c>
      <c r="J14" s="22" t="inlineStr">
        <is>
          <t>Ambiente administrativo convencional</t>
        </is>
      </c>
      <c r="K14" s="22" t="inlineStr">
        <is>
          <t>Deslocamentos ou condições moderadamente adversas</t>
        </is>
      </c>
      <c r="L14" s="22" t="inlineStr">
        <is>
          <t>Exposição periódica a ambiente operacional</t>
        </is>
      </c>
      <c r="M14" s="22" t="inlineStr">
        <is>
          <t>Exposição frequente a condições adversas ou risco</t>
        </is>
      </c>
      <c r="N14" s="22" t="inlineStr">
        <is>
          <t>Condições severas, elevado risco ou esforço significativo</t>
        </is>
      </c>
    </row>
    <row r="15">
      <c r="A15" s="23" t="inlineStr">
        <is>
          <t>TOTAL</t>
        </is>
      </c>
      <c r="B15" s="24">
        <f>SUM(B5:B14)</f>
        <v/>
      </c>
      <c r="C15" s="25">
        <f>SUM(C5:C14)</f>
        <v/>
      </c>
    </row>
  </sheetData>
  <autoFilter ref="A4:N14"/>
  <mergeCells count="2">
    <mergeCell ref="A2:N2"/>
    <mergeCell ref="A1:N1"/>
  </mergeCells>
  <pageMargins left="0.25" right="0.25" top="0.5" bottom="0.5" header="0.5" footer="0.5"/>
  <pageSetup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5" customWidth="1" min="2" max="2"/>
    <col width="3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</cols>
  <sheetData>
    <row r="1" ht="28" customHeight="1">
      <c r="A1" s="26" t="inlineStr">
        <is>
          <t>COMPENSATION ANALYTICS LAB | GUIA DE USO</t>
        </is>
      </c>
    </row>
    <row r="3">
      <c r="A3" s="4" t="inlineStr">
        <is>
          <t>Status do projeto</t>
        </is>
      </c>
      <c r="B3" s="22" t="inlineStr">
        <is>
          <t>Projeto autoral para estudo e demonstração técnica. Todos os dados são 100% sintéticos.</t>
        </is>
      </c>
    </row>
    <row r="5">
      <c r="A5" s="4" t="inlineStr">
        <is>
          <t>Empresa fictícia</t>
        </is>
      </c>
      <c r="B5" s="22" t="inlineStr">
        <is>
          <t>Nexora Serviços Integrados</t>
        </is>
      </c>
    </row>
    <row r="7">
      <c r="A7" s="4" t="inlineStr">
        <is>
          <t>Objetivo desta planilha</t>
        </is>
      </c>
      <c r="B7" s="22" t="inlineStr">
        <is>
          <t>Avaliar 60 cargos por metodologia de fatores e pontos, preparando a base para criação de classes e faixas salariais.</t>
        </is>
      </c>
    </row>
    <row r="9">
      <c r="A9" s="4" t="inlineStr">
        <is>
          <t>Como preencher</t>
        </is>
      </c>
      <c r="B9" s="22" t="inlineStr">
        <is>
          <t>Na aba Avaliacao_Cargos, preencha somente os 10 campos de Grau com valores de 1 a 5. As colunas de pontos e a pontuação total são calculadas automaticamente.</t>
        </is>
      </c>
    </row>
    <row r="11">
      <c r="A11" s="4" t="inlineStr">
        <is>
          <t>Critério de avaliação</t>
        </is>
      </c>
      <c r="B11" s="22" t="inlineStr">
        <is>
          <t>Avalie o conteúdo e as responsabilidades do cargo, e não a pessoa, o salário atual, o tempo de empresa ou o desempenho individual.</t>
        </is>
      </c>
    </row>
    <row r="13">
      <c r="A13" s="4" t="inlineStr">
        <is>
          <t>Escala</t>
        </is>
      </c>
      <c r="B13" s="22" t="inlineStr">
        <is>
          <t>Grau 1 = exigência básica | Grau 2 = moderada | Grau 3 = intermediária | Grau 4 = elevada | Grau 5 = estratégica/máxima.</t>
        </is>
      </c>
    </row>
    <row r="15">
      <c r="A15" s="4" t="inlineStr">
        <is>
          <t>Próxima etapa</t>
        </is>
      </c>
      <c r="B15" s="22" t="inlineStr">
        <is>
          <t>Após pontuar os 60 cargos, criaremos agrupamentos de pontuação, classes salariais e 5 steps por classe.</t>
        </is>
      </c>
    </row>
    <row r="18">
      <c r="A18" s="4" t="inlineStr">
        <is>
          <t>Convenção visual</t>
        </is>
      </c>
    </row>
    <row r="20">
      <c r="A20" s="27" t="inlineStr">
        <is>
          <t>Células azuis</t>
        </is>
      </c>
      <c r="B20" t="inlineStr">
        <is>
          <t>Inputs do usuário: graus 1 a 5 e observações.</t>
        </is>
      </c>
    </row>
    <row r="21">
      <c r="A21" s="28" t="inlineStr">
        <is>
          <t>Células brancas/pretas</t>
        </is>
      </c>
      <c r="B21" t="inlineStr">
        <is>
          <t>Fórmulas e valores calculados.</t>
        </is>
      </c>
    </row>
    <row r="22">
      <c r="A22" s="29" t="inlineStr">
        <is>
          <t>Células cinzas</t>
        </is>
      </c>
      <c r="B22" t="inlineStr">
        <is>
          <t>Dados estáticos do projeto sintético.</t>
        </is>
      </c>
    </row>
    <row r="23">
      <c r="A23" s="30" t="inlineStr">
        <is>
          <t>Células laranja</t>
        </is>
      </c>
      <c r="B23" t="inlineStr">
        <is>
          <t>Itens pendentes de definição/revisão.</t>
        </is>
      </c>
    </row>
  </sheetData>
  <mergeCells count="1">
    <mergeCell ref="A1:H1"/>
  </mergeCells>
  <pageMargins left="0.25" right="0.25" top="0.5" bottom="0.5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2026-09-17T01:19:38Z</dcterms:created>
  <dcterms:modified xmlns:dcterms="http://purl.org/dc/terms/" xmlns:xsi="http://www.w3.org/2001/XMLSchema-instance" xsi:type="dcterms:W3CDTF">2026-09-17T01:19:38Z</dcterms:modified>
</cp:coreProperties>
</file>